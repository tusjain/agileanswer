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drawings/drawing8.xml" ContentType="application/vnd.openxmlformats-officedocument.drawing+xml"/>
  <Override PartName="/xl/activeX/activeX15.xml" ContentType="application/vnd.ms-office.activeX+xml"/>
  <Override PartName="/xl/activeX/activeX15.bin" ContentType="application/vnd.ms-office.activeX"/>
  <Override PartName="/xl/drawings/drawing9.xml" ContentType="application/vnd.openxmlformats-officedocument.drawing+xml"/>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comments2.xml" ContentType="application/vnd.openxmlformats-officedocument.spreadsheetml.comments+xml"/>
  <Override PartName="/xl/drawings/drawing11.xml" ContentType="application/vnd.openxmlformats-officedocument.drawing+xml"/>
  <Override PartName="/xl/activeX/activeX18.xml" ContentType="application/vnd.ms-office.activeX+xml"/>
  <Override PartName="/xl/activeX/activeX18.bin" ContentType="application/vnd.ms-office.activeX"/>
  <Override PartName="/xl/drawings/drawing12.xml" ContentType="application/vnd.openxmlformats-officedocument.drawing+xml"/>
  <Override PartName="/xl/activeX/activeX19.xml" ContentType="application/vnd.ms-office.activeX+xml"/>
  <Override PartName="/xl/activeX/activeX19.bin" ContentType="application/vnd.ms-office.activeX"/>
  <Override PartName="/xl/drawings/drawing1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3040" windowHeight="9405" tabRatio="833" firstSheet="6" activeTab="18"/>
  </bookViews>
  <sheets>
    <sheet name="ReadMe" sheetId="20" r:id="rId1"/>
    <sheet name="Introduction" sheetId="15" r:id="rId2"/>
    <sheet name="Team" sheetId="1" r:id="rId3"/>
    <sheet name="DataNew" sheetId="18" r:id="rId4"/>
    <sheet name="Application" sheetId="21" r:id="rId5"/>
    <sheet name="Metrics" sheetId="22" r:id="rId6"/>
    <sheet name="RequirementMgmt" sheetId="9" r:id="rId7"/>
    <sheet name="VersionControl" sheetId="10" r:id="rId8"/>
    <sheet name="UnitTesting" sheetId="11" r:id="rId9"/>
    <sheet name="CodeQualityAndAnalytics" sheetId="12" r:id="rId10"/>
    <sheet name="Packaging" sheetId="2" r:id="rId11"/>
    <sheet name="Build" sheetId="4" r:id="rId12"/>
    <sheet name="Testing" sheetId="5" r:id="rId13"/>
    <sheet name="UserAcceptanceTesting" sheetId="7" r:id="rId14"/>
    <sheet name="Deploy" sheetId="6" r:id="rId15"/>
    <sheet name="Release" sheetId="8" r:id="rId16"/>
    <sheet name="RunTime" sheetId="13" r:id="rId17"/>
    <sheet name="Infrastructure" sheetId="14" r:id="rId18"/>
    <sheet name="Results" sheetId="19" r:id="rId19"/>
    <sheet name="Notes" sheetId="16" r:id="rId20"/>
  </sheet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5" i="10" l="1"/>
  <c r="F25" i="10"/>
  <c r="G11" i="8"/>
  <c r="C3" i="19" l="1"/>
  <c r="C8" i="19"/>
  <c r="C9" i="19"/>
  <c r="G50" i="5"/>
  <c r="F50" i="5"/>
  <c r="G8" i="7"/>
  <c r="F8" i="7"/>
  <c r="I55" i="6"/>
  <c r="H55" i="6"/>
  <c r="F11" i="8"/>
  <c r="G10" i="13"/>
  <c r="F10" i="13"/>
  <c r="H12" i="14"/>
  <c r="G12" i="14"/>
  <c r="H56" i="6" l="1"/>
  <c r="D55" i="6" s="1"/>
  <c r="C10" i="19" s="1"/>
  <c r="F51" i="5"/>
  <c r="C50" i="5" s="1"/>
  <c r="G13" i="14"/>
  <c r="D12" i="14" s="1"/>
  <c r="F11" i="13"/>
  <c r="C10" i="13" s="1"/>
  <c r="C12" i="19" s="1"/>
  <c r="F12" i="8"/>
  <c r="C11" i="8" s="1"/>
  <c r="C11" i="19" s="1"/>
  <c r="F9" i="7"/>
  <c r="C8" i="7" s="1"/>
  <c r="G7" i="9"/>
  <c r="F7" i="9"/>
  <c r="C7" i="9" s="1"/>
  <c r="G11" i="4" l="1"/>
  <c r="F11" i="4"/>
  <c r="G9" i="2"/>
  <c r="F9" i="2"/>
  <c r="H26" i="12"/>
  <c r="G26" i="12"/>
  <c r="F12" i="4" l="1"/>
  <c r="C12" i="4" s="1"/>
  <c r="C7" i="19" s="1"/>
  <c r="F10" i="2"/>
  <c r="C10" i="2" s="1"/>
  <c r="G27" i="12"/>
  <c r="C27" i="12" s="1"/>
  <c r="C6" i="19" s="1"/>
  <c r="F10" i="11" l="1"/>
  <c r="G10" i="11"/>
  <c r="F11" i="11" l="1"/>
  <c r="C11" i="11" s="1"/>
  <c r="C5" i="19" s="1"/>
  <c r="F26" i="10" l="1"/>
  <c r="C26" i="10" s="1"/>
  <c r="C4" i="19" s="1"/>
</calcChain>
</file>

<file path=xl/comments1.xml><?xml version="1.0" encoding="utf-8"?>
<comments xmlns="http://schemas.openxmlformats.org/spreadsheetml/2006/main">
  <authors>
    <author>Jain,Tushar</author>
  </authors>
  <commentList>
    <comment ref="B9" authorId="0">
      <text>
        <r>
          <rPr>
            <b/>
            <sz val="9"/>
            <color indexed="81"/>
            <rFont val="Tahoma"/>
            <family val="2"/>
          </rPr>
          <t>Jain,Tushar:</t>
        </r>
        <r>
          <rPr>
            <sz val="9"/>
            <color indexed="81"/>
            <rFont val="Tahoma"/>
            <family val="2"/>
          </rPr>
          <t xml:space="preserve">
This data may include story #, defect #, type of fix, etc.</t>
        </r>
      </text>
    </comment>
  </commentList>
</comments>
</file>

<file path=xl/comments2.xml><?xml version="1.0" encoding="utf-8"?>
<comments xmlns="http://schemas.openxmlformats.org/spreadsheetml/2006/main">
  <authors>
    <author>Jain,Tushar</author>
  </authors>
  <commentList>
    <comment ref="B7" authorId="0">
      <text>
        <r>
          <rPr>
            <b/>
            <sz val="9"/>
            <color indexed="81"/>
            <rFont val="Tahoma"/>
            <family val="2"/>
          </rPr>
          <t>Jain,Tushar:</t>
        </r>
        <r>
          <rPr>
            <sz val="9"/>
            <color indexed="81"/>
            <rFont val="Tahoma"/>
            <family val="2"/>
          </rPr>
          <t xml:space="preserve">
There’s no UI impact of the feature flag enabling, but behind the scenes additional work is being done generally to provide real world test data to a system.</t>
        </r>
      </text>
    </comment>
    <comment ref="B8" authorId="0">
      <text>
        <r>
          <rPr>
            <b/>
            <sz val="9"/>
            <color indexed="81"/>
            <rFont val="Tahoma"/>
            <family val="2"/>
          </rPr>
          <t>Jain,Tushar:</t>
        </r>
        <r>
          <rPr>
            <sz val="9"/>
            <color indexed="81"/>
            <rFont val="Tahoma"/>
            <family val="2"/>
          </rPr>
          <t xml:space="preserve">
A canary release is a push of functionality/ies to a small group of end users who are unaware that they are receiving updated features</t>
        </r>
      </text>
    </comment>
    <comment ref="B9" authorId="0">
      <text>
        <r>
          <rPr>
            <b/>
            <sz val="9"/>
            <color indexed="81"/>
            <rFont val="Tahoma"/>
            <family val="2"/>
          </rPr>
          <t>Jain,Tushar:</t>
        </r>
        <r>
          <rPr>
            <sz val="9"/>
            <color indexed="81"/>
            <rFont val="Tahoma"/>
            <family val="2"/>
          </rPr>
          <t xml:space="preserve">
Blue/green deployments, which may also be referred to as A/B deployments require two identical hardware environments that are configured exactly the same way. While one environment is active and serving end users, the other environment remains idle.</t>
        </r>
      </text>
    </comment>
  </commentList>
</comments>
</file>

<file path=xl/sharedStrings.xml><?xml version="1.0" encoding="utf-8"?>
<sst xmlns="http://schemas.openxmlformats.org/spreadsheetml/2006/main" count="1257" uniqueCount="659">
  <si>
    <t>Packaging</t>
  </si>
  <si>
    <t>Yes</t>
  </si>
  <si>
    <t>No</t>
  </si>
  <si>
    <t>Some are</t>
  </si>
  <si>
    <t>Does team has artifact repository to keep track on versioning of binaries (e.g. libraries)</t>
  </si>
  <si>
    <t>No, we don't have. No idea about dept/org.</t>
  </si>
  <si>
    <t>No, dept/org. maintains it</t>
  </si>
  <si>
    <t>Build</t>
  </si>
  <si>
    <t>Few minutes</t>
  </si>
  <si>
    <t>Under one hours</t>
  </si>
  <si>
    <t>Many hours</t>
  </si>
  <si>
    <t>Days</t>
  </si>
  <si>
    <t>Testing</t>
  </si>
  <si>
    <t>Partial</t>
  </si>
  <si>
    <t>We can mark test cases to facilitate smoke testing</t>
  </si>
  <si>
    <t>Other - please specify</t>
  </si>
  <si>
    <t>Half day</t>
  </si>
  <si>
    <t>One day</t>
  </si>
  <si>
    <t>With in a week</t>
  </si>
  <si>
    <t>More than two weeks</t>
  </si>
  <si>
    <t>Deploy</t>
  </si>
  <si>
    <t>Few hours</t>
  </si>
  <si>
    <t>A day</t>
  </si>
  <si>
    <t>Few days</t>
  </si>
  <si>
    <t>Env</t>
  </si>
  <si>
    <t>Dev</t>
  </si>
  <si>
    <t>Test</t>
  </si>
  <si>
    <t>Stg</t>
  </si>
  <si>
    <t>Prd</t>
  </si>
  <si>
    <t>Count</t>
  </si>
  <si>
    <t>Yes/No</t>
  </si>
  <si>
    <t>User Acceptance Testing</t>
  </si>
  <si>
    <t>During current iteration/sprint</t>
  </si>
  <si>
    <t>At the end of current iteration/sprint</t>
  </si>
  <si>
    <t>Just after system demo (SAFe)</t>
  </si>
  <si>
    <t>Just before system demo (SAFe)</t>
  </si>
  <si>
    <t>Just before release</t>
  </si>
  <si>
    <t>Periodically - Please specify</t>
  </si>
  <si>
    <t>Adhoc</t>
  </si>
  <si>
    <t>Team</t>
  </si>
  <si>
    <t>Release</t>
  </si>
  <si>
    <t>Other - Please specify</t>
  </si>
  <si>
    <t>Yes but require significant amount of work</t>
  </si>
  <si>
    <t>In few minutes</t>
  </si>
  <si>
    <t>Team name</t>
  </si>
  <si>
    <t>Total number of team members</t>
  </si>
  <si>
    <t>How many Product Owners</t>
  </si>
  <si>
    <t>Does team gets work from a Product Owner only?</t>
  </si>
  <si>
    <t>Does team conduct Iteration/Sprint Planning meeting regularly</t>
  </si>
  <si>
    <t>Does team conducts Daily Standup regularly</t>
  </si>
  <si>
    <t>Does team conduct Iteration/Sprint Review meeting regularly</t>
  </si>
  <si>
    <t>Does team conducts demo regularly</t>
  </si>
  <si>
    <t>Does team conducts refinement sessions regularly</t>
  </si>
  <si>
    <t>Does team has Scrum/Kanban Board</t>
  </si>
  <si>
    <t>Does team has all skill sets to complete the work from requirement to deployment</t>
  </si>
  <si>
    <t>When does newest member joined the team?</t>
  </si>
  <si>
    <t>How longest back the one of the current member joined the team</t>
  </si>
  <si>
    <t>How many changes in a quarter in the team (on the average)</t>
  </si>
  <si>
    <t>Do requirements follow "Requirement by Specification" pattern?</t>
  </si>
  <si>
    <t>Does version control system demand comments in specific pattern for check-in ( e.g. ref#)</t>
  </si>
  <si>
    <t>Branching and Merging</t>
  </si>
  <si>
    <t>How much time it take to perform a merge?</t>
  </si>
  <si>
    <t>Who is responsible for a merge?</t>
  </si>
  <si>
    <t>In merging manual?</t>
  </si>
  <si>
    <t>Does check-in kick build process?</t>
  </si>
  <si>
    <t>Requirement Mgmt</t>
  </si>
  <si>
    <t>Version Control</t>
  </si>
  <si>
    <t>Test Data</t>
  </si>
  <si>
    <t>First day of iteration/sprint</t>
  </si>
  <si>
    <t>When ever coding starts on a new story</t>
  </si>
  <si>
    <t>When ever coding starts on a new feature</t>
  </si>
  <si>
    <t>We don't fork. We have trunk based development</t>
  </si>
  <si>
    <t>We don't fork, we have trunk based development</t>
  </si>
  <si>
    <t>Couple of minutes</t>
  </si>
  <si>
    <t>Couple of hours</t>
  </si>
  <si>
    <t>Whole team</t>
  </si>
  <si>
    <t>One who merges in the last</t>
  </si>
  <si>
    <t>Manual</t>
  </si>
  <si>
    <t>Automatic</t>
  </si>
  <si>
    <t>Partial automatic</t>
  </si>
  <si>
    <t>Code Quality and Analytics</t>
  </si>
  <si>
    <t>Parameter</t>
  </si>
  <si>
    <t>Logical part of the code</t>
  </si>
  <si>
    <t>Coding standards</t>
  </si>
  <si>
    <t>What % of code is reviewed</t>
  </si>
  <si>
    <t>Spread sheet</t>
  </si>
  <si>
    <t>Emails</t>
  </si>
  <si>
    <t>We use work item tracking system</t>
  </si>
  <si>
    <t>We keep versioned interfaces between our different services and services are automatically tested against the client contracts. Pull requests and commits of code violating the tests are rejected to prevent breaking the interface.</t>
  </si>
  <si>
    <t>We maintain an artifactory repository (Nuget, Nexus, Artifactory, etc.) with the latest binaries and all teams pull from there. Our services are built to cope with downstream failure and we support multiple versions.</t>
  </si>
  <si>
    <t>Not applicable</t>
  </si>
  <si>
    <t>We list technical debt remediation work in our product backlog</t>
  </si>
  <si>
    <t>We incur technical debt to sort out immediate challenge but track it and promptly pay it off</t>
  </si>
  <si>
    <t>A week</t>
  </si>
  <si>
    <t>Couple of days</t>
  </si>
  <si>
    <t>Less than an hour</t>
  </si>
  <si>
    <t>Run Time</t>
  </si>
  <si>
    <t>Are the alarms, monitors, thresholds and other tooling areas implemented in the application design?</t>
  </si>
  <si>
    <t>We do not have separate Ops team</t>
  </si>
  <si>
    <t>Others - Please specify</t>
  </si>
  <si>
    <t>How much time it take to create a new non-prd env</t>
  </si>
  <si>
    <t>Few Hours</t>
  </si>
  <si>
    <t>Is monitoring in prd and non-prd system same?</t>
  </si>
  <si>
    <t>dev</t>
  </si>
  <si>
    <t>test</t>
  </si>
  <si>
    <t>stg</t>
  </si>
  <si>
    <t>This DevOps team level assessment classify a dev team into three levels. This classification is based on following parameter:
1. People and Culture
2. Process and Structure
3. Tools and Technology
4. Measurement
5. Outcome and Progress</t>
  </si>
  <si>
    <t>While depicting the results of this assessment, this tool highlights:
1.Team's current status
2. Depicting team's progress
     a. Improvement in existing practices
     b. Addition of desirable practices
     c. Stepping away from not so postive practices
3. Bench marking this team against other similar teams</t>
  </si>
  <si>
    <t>Map Value stream for the team or identify the value stream in which team is one of many.</t>
  </si>
  <si>
    <t>With each assessment find out what is the improvement in the value stream.</t>
  </si>
  <si>
    <t>Identify value stream improvement drivers which team can work on in priority order</t>
  </si>
  <si>
    <t>Find out cycle time drivers and order them in priorty for improvement</t>
  </si>
  <si>
    <t>With each assessment find out what is the improvement in the cycle time drivers</t>
  </si>
  <si>
    <t>No, each env has its own set of scripts</t>
  </si>
  <si>
    <t>Assessment started on</t>
  </si>
  <si>
    <t>Assessment completed on</t>
  </si>
  <si>
    <t>Remarks</t>
  </si>
  <si>
    <t>On average, how many team members were present while doing assessment?</t>
  </si>
  <si>
    <t>Yes - Comprehensive</t>
  </si>
  <si>
    <t>Yes - Very few</t>
  </si>
  <si>
    <t>Not at all</t>
  </si>
  <si>
    <t>Whole of iteration/sprint</t>
  </si>
  <si>
    <t>Beyond one iteration/sprint</t>
  </si>
  <si>
    <t>Multiple times a day</t>
  </si>
  <si>
    <t>Once in a day</t>
  </si>
  <si>
    <t>When ever story gets completed</t>
  </si>
  <si>
    <t>When ever feature is completed</t>
  </si>
  <si>
    <t>Unit Testing</t>
  </si>
  <si>
    <t>We do not write unit tests</t>
  </si>
  <si>
    <t xml:space="preserve">Where are the metrics derived from unit tests utilized? </t>
  </si>
  <si>
    <t>% coverage</t>
  </si>
  <si>
    <t>None, we do not write unit tests</t>
  </si>
  <si>
    <t>ratio of "unit tests written before code" and "unit tests written after code"</t>
  </si>
  <si>
    <t>Discussed during I&amp;A (SAFe)</t>
  </si>
  <si>
    <t>Discussed during iteration/sprint retro</t>
  </si>
  <si>
    <t>Available on ART dash board (SAFe)</t>
  </si>
  <si>
    <t>Technical Debt</t>
  </si>
  <si>
    <t>Cyclomatic complexity</t>
  </si>
  <si>
    <t>Design patterns</t>
  </si>
  <si>
    <t>One Big monolithic package</t>
  </si>
  <si>
    <t>Can a package be hot deployed?</t>
  </si>
  <si>
    <t>How much time it take to create a build?</t>
  </si>
  <si>
    <t>Do we create incremental build?</t>
  </si>
  <si>
    <t>Under 30 minutes</t>
  </si>
  <si>
    <t>Is unit test case suit execution kick-in with build creation (full or partial)?</t>
  </si>
  <si>
    <t>Functional Testing</t>
  </si>
  <si>
    <t>Security Testing</t>
  </si>
  <si>
    <t>Performance/Load Testing</t>
  </si>
  <si>
    <t>Smoke Testing</t>
  </si>
  <si>
    <t>What % of functional test cases are automated?</t>
  </si>
  <si>
    <t>Yes, only for new code base</t>
  </si>
  <si>
    <t>Yes, for most changing code base</t>
  </si>
  <si>
    <t>No, we do not have any</t>
  </si>
  <si>
    <t>Does team has functional regression test suit?</t>
  </si>
  <si>
    <t>Daily</t>
  </si>
  <si>
    <t>Every weekend</t>
  </si>
  <si>
    <t>At the end of sprint</t>
  </si>
  <si>
    <t>Before release</t>
  </si>
  <si>
    <t>Before UAT</t>
  </si>
  <si>
    <t>Once during PI (SAFe)</t>
  </si>
  <si>
    <t>How versatile is automated security regression test suite?</t>
  </si>
  <si>
    <t>How versatile is automated functional regression test suite?</t>
  </si>
  <si>
    <t>During an iteration/sprint how many times, functional regression test suit is executed?</t>
  </si>
  <si>
    <t>Does team has automated functional regression test suit?</t>
  </si>
  <si>
    <t>What % of security test cases are automated?</t>
  </si>
  <si>
    <t>Does team has security regression test suit?</t>
  </si>
  <si>
    <t>Does team has automated security regression test suit?</t>
  </si>
  <si>
    <t>None - We do not automate the tests</t>
  </si>
  <si>
    <t>Is test data version controlled?</t>
  </si>
  <si>
    <t>Is test data extraction, massaging, and loading automated?</t>
  </si>
  <si>
    <t>None - we do not load data in sub prd envs</t>
  </si>
  <si>
    <t>No - We do not execute smoke test after deployment in any env except in prd</t>
  </si>
  <si>
    <t>Other - Please share the details</t>
  </si>
  <si>
    <t>How long it take to request test data refresh and actual refresh?</t>
  </si>
  <si>
    <t>Yes, in all env</t>
  </si>
  <si>
    <t>Yes, in some env - Please specify the env</t>
  </si>
  <si>
    <t>No - We do not execute smoke test after deployment in any env</t>
  </si>
  <si>
    <r>
      <t>Scale down ratio
(prd:non-prd:: 100:</t>
    </r>
    <r>
      <rPr>
        <b/>
        <sz val="11"/>
        <color rgb="FFFF0000"/>
        <rFont val="Calibri"/>
        <family val="2"/>
        <scheme val="minor"/>
      </rPr>
      <t>?</t>
    </r>
    <r>
      <rPr>
        <b/>
        <sz val="11"/>
        <color theme="1"/>
        <rFont val="Calibri"/>
        <family val="2"/>
        <scheme val="minor"/>
      </rPr>
      <t>)</t>
    </r>
  </si>
  <si>
    <t>Does application support partial/incremental deployment of features/functionalities and components?</t>
  </si>
  <si>
    <t>Partial - Please share the details</t>
  </si>
  <si>
    <t>Sometimes</t>
  </si>
  <si>
    <t>Manual/Automatic/Partial automatic</t>
  </si>
  <si>
    <t>Yes/No/Sometimes</t>
  </si>
  <si>
    <t>No, we do not have scripts, we do manual deployment</t>
  </si>
  <si>
    <t>No, we do not know about log files</t>
  </si>
  <si>
    <t>No, we do not refer log files</t>
  </si>
  <si>
    <t>At the end of next iteration/sprint</t>
  </si>
  <si>
    <t>Is UAT execution automated?</t>
  </si>
  <si>
    <t>Is UAT scripted?</t>
  </si>
  <si>
    <t>When does user acceptance testing performed?</t>
  </si>
  <si>
    <t>Yes, in few minutes</t>
  </si>
  <si>
    <t>Yes, it require few hours of efforts</t>
  </si>
  <si>
    <t>Once in a month - follow the enterprise release calendar</t>
  </si>
  <si>
    <t>Every 15 days</t>
  </si>
  <si>
    <t>Every week</t>
  </si>
  <si>
    <t>Not applicable - Please share reasoning</t>
  </si>
  <si>
    <t>How long does it take to restore the service/application when a service incident occur (e.g. unplanned outage, service impairment, etc.)</t>
  </si>
  <si>
    <t>No pattern</t>
  </si>
  <si>
    <t>Yes, all possible places</t>
  </si>
  <si>
    <t>Yes, at some places</t>
  </si>
  <si>
    <t>Yes, at all places in application</t>
  </si>
  <si>
    <t>Yes, only some part of application</t>
  </si>
  <si>
    <t>Ops team figures out itself</t>
  </si>
  <si>
    <t>If there is a separate ops team, how soon are they get involved with development?</t>
  </si>
  <si>
    <t>We prepare documentation and organize extensive information transfer at the end of/after development</t>
  </si>
  <si>
    <t>Remark</t>
  </si>
  <si>
    <t>Each answer of each question has some points which add up to determine the maturity of a team (% marks out of maximum marks)</t>
  </si>
  <si>
    <t>There is no -ve marking</t>
  </si>
  <si>
    <t>This a work in progress, please let us know how it can be improved.</t>
  </si>
  <si>
    <t>Result should be represented as radar chart</t>
  </si>
  <si>
    <t>Key in the input</t>
  </si>
  <si>
    <t>Select one</t>
  </si>
  <si>
    <t>Select multiple</t>
  </si>
  <si>
    <t>Key in the remarks</t>
  </si>
  <si>
    <t xml:space="preserve">To start with, a team should fill this survey as collective once during iteration/sprint (retro is a good time). </t>
  </si>
  <si>
    <t>Over time period it is expected that teams will be filling this workbook once in a quarter</t>
  </si>
  <si>
    <t>Scoring model is under development</t>
  </si>
  <si>
    <t>Team may decide to focus on one or more competencies (each tab represent a competency) for a duration of an iteration/sprint. In this case, team should fill only respective sheet/s.</t>
  </si>
  <si>
    <t xml:space="preserve">This tool assumes that team is ustilizing Scrum or Kanban or SAFe framework. </t>
  </si>
  <si>
    <t>&gt;80%</t>
  </si>
  <si>
    <t>Does team keep application code in version control systems</t>
  </si>
  <si>
    <t>Version Control System</t>
  </si>
  <si>
    <t>Does team keep application level configurations in version control system</t>
  </si>
  <si>
    <t>Does team keep database scripts in version control system</t>
  </si>
  <si>
    <t>Does team keep test cases in version control system</t>
  </si>
  <si>
    <t>Does team keep test data in version control system</t>
  </si>
  <si>
    <t>Check-in policy</t>
  </si>
  <si>
    <t>In a typical iteration/sprint, when do branches forked?</t>
  </si>
  <si>
    <t>In a typical iteration/sprint, when do the most of the merges performed?</t>
  </si>
  <si>
    <t>When do you check in your code/artifact?</t>
  </si>
  <si>
    <t>Do developers write unit tests?</t>
  </si>
  <si>
    <t>Do unit tests authored like code?</t>
  </si>
  <si>
    <t>Are unit tests part of Definition of Done?</t>
  </si>
  <si>
    <t>How much code is written using TDD?</t>
  </si>
  <si>
    <t>&lt;10%</t>
  </si>
  <si>
    <t>10 to 25%</t>
  </si>
  <si>
    <t>26 to 50%</t>
  </si>
  <si>
    <t>50 to 80%</t>
  </si>
  <si>
    <t>&gt; 80%</t>
  </si>
  <si>
    <t>Is static code review tool configured in IDE of each developer?</t>
  </si>
  <si>
    <t>No - it is configured at build level</t>
  </si>
  <si>
    <t>No - static code analysis tool is not used</t>
  </si>
  <si>
    <t>No - Static code analysis tool is not used in IDE</t>
  </si>
  <si>
    <t>Static code analysis</t>
  </si>
  <si>
    <t>Code Review</t>
  </si>
  <si>
    <t>We do not perform code review</t>
  </si>
  <si>
    <t>Is process/work flow of code review automated?</t>
  </si>
  <si>
    <t>Randomly assigned within team</t>
  </si>
  <si>
    <t>What are the criteria for code review assignment?</t>
  </si>
  <si>
    <t>Based on availability of people</t>
  </si>
  <si>
    <t>How does it decided to review a specific piece of code for review?</t>
  </si>
  <si>
    <t>Randomly</t>
  </si>
  <si>
    <t>51 to 80%</t>
  </si>
  <si>
    <t>Rating</t>
  </si>
  <si>
    <t>Rate the parameters, a code reviewer focuses on</t>
  </si>
  <si>
    <t>Code Quality (Miscellaneous)</t>
  </si>
  <si>
    <t>Does team perform code refactoring?</t>
  </si>
  <si>
    <t>Which code is refactored?</t>
  </si>
  <si>
    <t>Code which changes frequently</t>
  </si>
  <si>
    <t>Driven by  Technical debet reduction</t>
  </si>
  <si>
    <t>Code which produced largest number of defects in recent past</t>
  </si>
  <si>
    <t>Only select people do the review</t>
  </si>
  <si>
    <t>Is technical debt tracked</t>
  </si>
  <si>
    <t>We periodically launch refactoring projects</t>
  </si>
  <si>
    <t>How do you make sure that code is maintainable and robust?</t>
  </si>
  <si>
    <t>How do you manage code dependencies across teams?</t>
  </si>
  <si>
    <t>Metrics</t>
  </si>
  <si>
    <t>Essential complexity</t>
  </si>
  <si>
    <t>Method Cohesion</t>
  </si>
  <si>
    <t>We do not measure code quality metrics</t>
  </si>
  <si>
    <t xml:space="preserve">Where are the code quality metrics discussed? </t>
  </si>
  <si>
    <t>How does the application packaged?</t>
  </si>
  <si>
    <t>Do we have organization approved repository to download libraries?</t>
  </si>
  <si>
    <t>Yes, it is quite comprehensive and serves us well</t>
  </si>
  <si>
    <t>Yes, but it does not what have we require</t>
  </si>
  <si>
    <t>We request and almost immediately, library is made available</t>
  </si>
  <si>
    <t>We request and it take time to get that particular library, which affect team's productivity</t>
  </si>
  <si>
    <t>We just download and use it</t>
  </si>
  <si>
    <t>No, there is no such repository</t>
  </si>
  <si>
    <t>Is build created when ever code checked-in?</t>
  </si>
  <si>
    <t>Does successful build definition include no compilation errors and error free unit test cases suit execution?</t>
  </si>
  <si>
    <t>Is there an information radiator and notification to all team members for status of build?</t>
  </si>
  <si>
    <t>Are functional tests are written in parallel to development of code?</t>
  </si>
  <si>
    <t>We do not automate functional test cases</t>
  </si>
  <si>
    <t>Yes, for almost full code base</t>
  </si>
  <si>
    <t>Do automated functional test cases marked for smoke testing?</t>
  </si>
  <si>
    <t>During an iteration/sprint how many times, security regression test suit is executed?</t>
  </si>
  <si>
    <t>Do automated security test cases marked for smoke testing?</t>
  </si>
  <si>
    <t>Are security tests are written in parallel or prior to development of code?</t>
  </si>
  <si>
    <t>Are functional test cases executed during development of code?</t>
  </si>
  <si>
    <t>Are security test cases executed during development of code?</t>
  </si>
  <si>
    <t>Does one of the team member load test data in the dev env?</t>
  </si>
  <si>
    <t>Does one of the team member load test data in the test env?</t>
  </si>
  <si>
    <t>Does one of the team member load test data in the stg env?</t>
  </si>
  <si>
    <t>Does one of the team member extract or create test data?</t>
  </si>
  <si>
    <t>Does one of the team member do test data massaging?</t>
  </si>
  <si>
    <t>Do test cases for UAT written in collaboration of team and business</t>
  </si>
  <si>
    <t>None - We don't perform UAT</t>
  </si>
  <si>
    <t>We don't perform UAT</t>
  </si>
  <si>
    <t>We don't perform scripted UAT</t>
  </si>
  <si>
    <t>Combination of scripted and wild west</t>
  </si>
  <si>
    <t>Duration</t>
  </si>
  <si>
    <t>Do you have a separate ops team?</t>
  </si>
  <si>
    <t>Does team alone or in collaboration of some other team create a new non-prd env, if required?</t>
  </si>
  <si>
    <t>Infrstructure</t>
  </si>
  <si>
    <t>Do we have infrastructure as code</t>
  </si>
  <si>
    <t>Under an hour</t>
  </si>
  <si>
    <t>An hour</t>
  </si>
  <si>
    <t>At how many locations, team members are located?</t>
  </si>
  <si>
    <t>Is team collocated?</t>
  </si>
  <si>
    <t>Does team has full time Scrum/Kanban Master</t>
  </si>
  <si>
    <t>What is in Version Control?</t>
  </si>
  <si>
    <t>There will be five level of maturity for the team. All questions all available to all teams at all levels of maturity.</t>
  </si>
  <si>
    <t>"Team" tab is just for information purpose. No scoring should be performed on this tab. It is assumed that Agile initiative is taking care of this tab's content.</t>
  </si>
  <si>
    <t>Do DevTeam members and Product Owner write down requirements in collaborative fashion?</t>
  </si>
  <si>
    <t>As soon as story is completed</t>
  </si>
  <si>
    <t>As soon as feature is completed</t>
  </si>
  <si>
    <t>Got</t>
  </si>
  <si>
    <t>Total</t>
  </si>
  <si>
    <t>Q1</t>
  </si>
  <si>
    <t>Q2</t>
  </si>
  <si>
    <t>Q3</t>
  </si>
  <si>
    <t>Q4</t>
  </si>
  <si>
    <t>Q5</t>
  </si>
  <si>
    <t>Q6</t>
  </si>
  <si>
    <t>Q7</t>
  </si>
  <si>
    <t>Q8</t>
  </si>
  <si>
    <t>Q9</t>
  </si>
  <si>
    <t>Q10</t>
  </si>
  <si>
    <t>Q11</t>
  </si>
  <si>
    <t>Q12</t>
  </si>
  <si>
    <t>Q13</t>
  </si>
  <si>
    <t>Q14</t>
  </si>
  <si>
    <t>Q15</t>
  </si>
  <si>
    <t>Q16</t>
  </si>
  <si>
    <r>
      <t>ratio of</t>
    </r>
    <r>
      <rPr>
        <b/>
        <sz val="11"/>
        <color theme="1"/>
        <rFont val="Calibri"/>
        <family val="2"/>
        <scheme val="minor"/>
      </rPr>
      <t xml:space="preserve"> "unit tests failed during build" </t>
    </r>
    <r>
      <rPr>
        <sz val="11"/>
        <color theme="1"/>
        <rFont val="Calibri"/>
        <family val="2"/>
        <scheme val="minor"/>
      </rPr>
      <t>and "</t>
    </r>
    <r>
      <rPr>
        <b/>
        <sz val="11"/>
        <color theme="1"/>
        <rFont val="Calibri"/>
        <family val="2"/>
        <scheme val="minor"/>
      </rPr>
      <t>total unit tests"</t>
    </r>
  </si>
  <si>
    <t>XXXXXXXXXXXXXXXXXX</t>
  </si>
  <si>
    <t>YYYYYYYYYYYYYYYYY</t>
  </si>
  <si>
    <t>Based on the programming language</t>
  </si>
  <si>
    <t>We perform 100% code review</t>
  </si>
  <si>
    <t>One Big package consists of several smaller packages</t>
  </si>
  <si>
    <t>Yes, we maintain it</t>
  </si>
  <si>
    <t>Q8.1</t>
  </si>
  <si>
    <t>Q8.2</t>
  </si>
  <si>
    <t>Q8.3</t>
  </si>
  <si>
    <t>Q8.4</t>
  </si>
  <si>
    <t>Complexity of the code</t>
  </si>
  <si>
    <t>Based on author of the code</t>
  </si>
  <si>
    <t>Never</t>
  </si>
  <si>
    <t>Occasionally</t>
  </si>
  <si>
    <t>Often</t>
  </si>
  <si>
    <t>Very often</t>
  </si>
  <si>
    <t>Always</t>
  </si>
  <si>
    <t>Driven by  Technical debt reduction</t>
  </si>
  <si>
    <t>Does version control system captures metadata (e.g. story #) during check in</t>
  </si>
  <si>
    <t>In a typical iteration/sprint, what is the average life span of a typical branch?</t>
  </si>
  <si>
    <t>Does team swarm in or multiple DevTeam members come together to rectify the failed build?</t>
  </si>
  <si>
    <t>What are the metrics derived from unit tests?</t>
  </si>
  <si>
    <t>Is static code review tool used?</t>
  </si>
  <si>
    <t>Does a common config file utilized for static code review tool for all of DevTeam members?</t>
  </si>
  <si>
    <t>Does team has written guidelines or tacit understanding on packaging?</t>
  </si>
  <si>
    <t>If we do not have a library required in the organization's repository, how do we get the one?</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</si>
  <si>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</si>
  <si>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</si>
  <si>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</si>
  <si>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</si>
  <si>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</si>
  <si>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</si>
  <si>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</si>
  <si>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</si>
  <si>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</si>
  <si>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</si>
  <si>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</si>
  <si>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</si>
  <si>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</si>
  <si>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</si>
  <si>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</si>
  <si>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</si>
  <si>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</si>
  <si>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</si>
  <si>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</si>
  <si>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</si>
  <si>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</si>
  <si>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</si>
  <si>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</si>
  <si>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</si>
  <si>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</si>
  <si>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Do functional test cases automated in the current iteration/sprint?</t>
  </si>
  <si>
    <t>Do team members share functional test writing responsibility?</t>
  </si>
  <si>
    <t>Do team members share security test writing responsibility?</t>
  </si>
  <si>
    <t>At the end of iteration/sprint</t>
  </si>
  <si>
    <t>Two times in an iteration/sprint</t>
  </si>
  <si>
    <t>Do security test cases automated in the current iteration/sprint?</t>
  </si>
  <si>
    <t>Do team members share functional test automation responsibility?</t>
  </si>
  <si>
    <t>Do team members share security test automation responsibility?</t>
  </si>
  <si>
    <t>Are load/performance tests are marked prior or during development of code?</t>
  </si>
  <si>
    <t>Does automated smoke test suite executed after each deployment?</t>
  </si>
  <si>
    <t>Is test data refreshed whenever team demands for it?</t>
  </si>
  <si>
    <t>Are ambassador uses have access to ambassador env?</t>
  </si>
  <si>
    <t>Q5.1</t>
  </si>
  <si>
    <t>Q5.2</t>
  </si>
  <si>
    <t>Q5.3</t>
  </si>
  <si>
    <t>Q5.4</t>
  </si>
  <si>
    <t>Q9.1</t>
  </si>
  <si>
    <t>Q9.2</t>
  </si>
  <si>
    <t>Q9.3</t>
  </si>
  <si>
    <t>Q9.4</t>
  </si>
  <si>
    <t>Q10.1</t>
  </si>
  <si>
    <t>Q10.2</t>
  </si>
  <si>
    <t>Q10.3</t>
  </si>
  <si>
    <t>Q10.4</t>
  </si>
  <si>
    <t>Q11.1</t>
  </si>
  <si>
    <t>Q11.2</t>
  </si>
  <si>
    <t>Q11.3</t>
  </si>
  <si>
    <t>Q11.4</t>
  </si>
  <si>
    <t>Q12.1</t>
  </si>
  <si>
    <t>Q12.2</t>
  </si>
  <si>
    <t>Q12.3</t>
  </si>
  <si>
    <t>Q12.4</t>
  </si>
  <si>
    <t>Q13.1</t>
  </si>
  <si>
    <t>Q13.2</t>
  </si>
  <si>
    <t>Q13.3</t>
  </si>
  <si>
    <t>Q13.4</t>
  </si>
  <si>
    <t>Q14.1</t>
  </si>
  <si>
    <t>Q14.2</t>
  </si>
  <si>
    <t>Q14.3</t>
  </si>
  <si>
    <t>Q14.4</t>
  </si>
  <si>
    <t>Q15.1</t>
  </si>
  <si>
    <t>Q15.2</t>
  </si>
  <si>
    <t>Q15.3</t>
  </si>
  <si>
    <t>Q16.1</t>
  </si>
  <si>
    <t>Q16.2</t>
  </si>
  <si>
    <t>Q16.3</t>
  </si>
  <si>
    <t>Are deployment scripts are common across environments?</t>
  </si>
  <si>
    <t>Do we verify log files after each deployment?</t>
  </si>
  <si>
    <t>What is the scale of env with respect to prd env?</t>
  </si>
  <si>
    <t>Which env is similar (not scale) to prd?</t>
  </si>
  <si>
    <t>Does performance/load regression test suite executed after deployment?</t>
  </si>
  <si>
    <t>Does security regression test suite executed after deployment?</t>
  </si>
  <si>
    <t>Does functional regression test suite executed after deployment?</t>
  </si>
  <si>
    <t>Does exploratory testing performed after deployment?</t>
  </si>
  <si>
    <t>How much time a typical deployment take?</t>
  </si>
  <si>
    <t>Are smoke test cases executed after deployment?</t>
  </si>
  <si>
    <t>Is deployment single click in prd environment?</t>
  </si>
  <si>
    <t>How much time it take to configure a new env in deployment tool?</t>
  </si>
  <si>
    <t>How many approvals are required at each env to deploy?</t>
  </si>
  <si>
    <t>Does application support hot deployment?</t>
  </si>
  <si>
    <t>Does application support containerization?</t>
  </si>
  <si>
    <t>Is monitoring able to distinguish the most critical and recurrent problems and how they impact business services, without lengthy configuration and base lining?</t>
  </si>
  <si>
    <t>Do business and technical teams get notifications for potentially problematic events?</t>
  </si>
  <si>
    <t>Is environmental configuration details are in version control system?</t>
  </si>
  <si>
    <t>Are environment creation scripts are parameterized to take care of scale?</t>
  </si>
  <si>
    <t>What % of load/performance test cases are automated?</t>
  </si>
  <si>
    <t>Does team has load/performance regression test suit?</t>
  </si>
  <si>
    <t>Does team has automated load/performance regression test suit?</t>
  </si>
  <si>
    <t>During an iteration/sprint how many times, load/performance regression test suit is executed?</t>
  </si>
  <si>
    <t>Do load/performance test cases automated in the current iteration/sprint?</t>
  </si>
  <si>
    <t>How versatile is automated load/performance regression test suite?</t>
  </si>
  <si>
    <t>Do team members share load/performance test writing responsibility?</t>
  </si>
  <si>
    <t>Do team members share load/performance test automation responsibility?</t>
  </si>
  <si>
    <t>Do automated load/performance test cases marked for smoke testing?</t>
  </si>
  <si>
    <t>Those whose code is getting merged</t>
  </si>
  <si>
    <t>Team tracks to continuously improve the self</t>
  </si>
  <si>
    <t>Randomly assigned within team and sometime beyond team</t>
  </si>
  <si>
    <t>Rarely</t>
  </si>
  <si>
    <t>We avoid technical debt at all costs by continuous design review</t>
  </si>
  <si>
    <t>Class Hierarchy Level</t>
  </si>
  <si>
    <t>Available on team's dash board for everyone to look into</t>
  </si>
  <si>
    <t>Each feature/functionality and component has its own package and then theses packages are NOT packaged into one package.</t>
  </si>
  <si>
    <t>Sometime</t>
  </si>
  <si>
    <t>Yes, we  pass parameters as per environment under consideration</t>
  </si>
  <si>
    <t>Yes, if deployment has some issue</t>
  </si>
  <si>
    <t>Yes, all the time (even when deployment is successful)</t>
  </si>
  <si>
    <t>Examples of cycle time drivers - number of commits in trunk in a week or a day, number of successful builds in a week or a day, duration for a full regression, etc.</t>
  </si>
  <si>
    <t>Yes, newer code incorporates</t>
  </si>
  <si>
    <t>We have separate teams but sit together, so Ops team observe us (dev team) all the time</t>
  </si>
  <si>
    <t>We involve Ops team members from very starting</t>
  </si>
  <si>
    <t>Couple of weeks</t>
  </si>
  <si>
    <t>No, We don't perform scripted UAT</t>
  </si>
  <si>
    <t>Few Days</t>
  </si>
  <si>
    <t>We do not have capability to mark individual or group of tests for execution</t>
  </si>
  <si>
    <t xml:space="preserve">We can mark individual test to be executed </t>
  </si>
  <si>
    <t>We can mark groups of tests to be executed</t>
  </si>
  <si>
    <t>Q42</t>
  </si>
  <si>
    <t>With in two weeks</t>
  </si>
  <si>
    <t>Area</t>
  </si>
  <si>
    <t>Score</t>
  </si>
  <si>
    <t>This assessment is one of the tool to assess DevOps adoption maturity of a team.  Some other tools include
   # Various metrics collected and their trend analysis
   # Savings in lead time using value stream</t>
  </si>
  <si>
    <t>To provide data for this assessment, following color coding is used:</t>
  </si>
  <si>
    <t>"Team" tab is just for information purpose. No scoring is performed on this tab. It is assumed that Agile initiative is taking care of this tab's content.</t>
  </si>
  <si>
    <t>There is no negative scoring.</t>
  </si>
  <si>
    <t>Result of the assessment is depicted as single Radar Chart at "Result" tab</t>
  </si>
  <si>
    <t>While taking this assessment first time, fill up all tabs. During subsequent assessment, provide the data only for the area (tab) focused. For example a team may decide to focus on Version Control and Build during upcomming PI. In thius case team should make a copy of previous assessment and provide the input for Version Control and Build tabs only.</t>
  </si>
  <si>
    <r>
      <t xml:space="preserve">Do DevTeam members and Product Owner interact with </t>
    </r>
    <r>
      <rPr>
        <b/>
        <sz val="11"/>
        <color theme="1"/>
        <rFont val="Calibri"/>
        <family val="2"/>
        <scheme val="minor"/>
      </rPr>
      <t>users</t>
    </r>
    <r>
      <rPr>
        <sz val="11"/>
        <color theme="1"/>
        <rFont val="Calibri"/>
        <family val="2"/>
        <scheme val="minor"/>
      </rPr>
      <t xml:space="preserve"> to collect requirement?</t>
    </r>
  </si>
  <si>
    <r>
      <t xml:space="preserve">Do DevTeam members and Product Owner interact with </t>
    </r>
    <r>
      <rPr>
        <b/>
        <sz val="11"/>
        <color theme="1"/>
        <rFont val="Calibri"/>
        <family val="2"/>
        <scheme val="minor"/>
      </rPr>
      <t>customers</t>
    </r>
    <r>
      <rPr>
        <sz val="11"/>
        <color theme="1"/>
        <rFont val="Calibri"/>
        <family val="2"/>
        <scheme val="minor"/>
      </rPr>
      <t xml:space="preserve"> to collect requirement?</t>
    </r>
  </si>
  <si>
    <t>Does check-in kick off build process?</t>
  </si>
  <si>
    <t>Do developers execute unit tests?</t>
  </si>
  <si>
    <t>What are the metrics captured with respect to code quality</t>
  </si>
  <si>
    <t>Is orchestration engine (e.g. Jenkins) used for deployment?</t>
  </si>
  <si>
    <t>Are independent scripts used for deployment (without orchestration engine)?</t>
  </si>
  <si>
    <t>Does application transmits/logs/provides hooks to capture events and/or execution path?</t>
  </si>
  <si>
    <t>Do we use Dark releases?</t>
  </si>
  <si>
    <t>Do we have release numbering scheme?</t>
  </si>
  <si>
    <t>Can we trace cycle time of a requirement (requirement to code in prd)?</t>
  </si>
  <si>
    <t>How many times, team releases its application?</t>
  </si>
  <si>
    <t>Can a defect to deployed code in prd be traced end to end?</t>
  </si>
  <si>
    <t>Can a requirement to deployed code in prd be traced end to end?</t>
  </si>
  <si>
    <t>Do we use Blue Green deployment?</t>
  </si>
  <si>
    <t>Do we use Canary (A/B) releases?</t>
  </si>
  <si>
    <t>Does team follow the branching and merging guidelines enumerated in DevOps Playbook?</t>
  </si>
  <si>
    <t>How does code promoted from one enviornment to another?</t>
  </si>
  <si>
    <t>Is tested disaster recovery plan in place?</t>
  </si>
  <si>
    <t xml:space="preserve">Do you have any mechanism to assess performance and scalibilty of applications and availability of  infrastructure to support it? </t>
  </si>
  <si>
    <t>How frequently do developers check in the changes?</t>
  </si>
  <si>
    <t>1. Only upon feature completion
2. Ony upon story completion
3. Couple of times during a Sprint
4. Every couple of days
5. Every day
6. Mulriple times a day</t>
  </si>
  <si>
    <t>Can the team specify the versions of the dependencies their application depends on, and your build system automatically fetches the ones that are known to result in a good build?</t>
  </si>
  <si>
    <t>1. No. Dependeicies are maintained manually
2. Yes few are taken care by Build System.
3. Yes Build system is designed to take care of all dependencies for a given version</t>
  </si>
  <si>
    <t>How are artifacts managed in your build process?</t>
  </si>
  <si>
    <t>1. Binaries are compiled every time they are required as part of our deployment process.
2. Binaries are created once, and promoted through the build process.
3. Binaries are created once, and promoted through the build process but we do not have visibility of what deployed on which environment
4. Binaries are created once, and promoted through the build process. Also we can easily see which artifacts have been deployed to which environments, and which stages of my build, deploy, test and release process they have been through.</t>
  </si>
  <si>
    <t>How do you manage dependencies in your build process?</t>
  </si>
  <si>
    <t>1. Developers download libraries on an ad-hoc basis.
2. All libraries are checked in to source control.
3. Teams specify the versions of the dependencies their application depends on, and my build system automatically fetches the ones that are known to result in a good build (not necessarily the most recent snapshot available)</t>
  </si>
  <si>
    <t>Do you have automated build status information radiator</t>
  </si>
  <si>
    <t xml:space="preserve">1. No, some need to check the build machine
2. We have information radiation mechanism for the status of build (Build is triggered, by whom, what is the status etc).
3. We have information radiation mechanism for the status of build (Build is triggered, by whom, what is the status etc).All kinds of reports like build pass/fail, build pass/fail rate, Build Duration, test report. </t>
  </si>
  <si>
    <t>Who does testing?</t>
  </si>
  <si>
    <t>1. We do not test our code.
2. We have dedicated testing team
3. Testers are embeded in the team and perform manual testing
4. Testers are embedded in the team who focus on automation of testing suite.</t>
  </si>
  <si>
    <t>How is test data managed?</t>
  </si>
  <si>
    <t>1. We take a dump of the production database and senitize it mnually
2. Testing env data is periodically refreshed and sanitized automatically</t>
  </si>
  <si>
    <t>How long would it take for your project to release to production a change that involved a single line of code?</t>
  </si>
  <si>
    <t>1. Almost a week
2. Few days
3. Few hours, it has to pass through the CI/CD pipeline</t>
  </si>
  <si>
    <t>Is the application of any  version is always ready for demo?</t>
  </si>
  <si>
    <t xml:space="preserve">1. No and it takes atleast  weeks of planning
2. No but it takes few days of planning 
3. It is always ready for demo </t>
  </si>
  <si>
    <t>Which of these statements most closely resembles how testing and (if relevant) production environments are provisioned and maintained in your organization?</t>
  </si>
  <si>
    <t>1. They are created and maintained manually on an ad-hoc basis.
2. There is a standard manual install process that is followed to create environments. Patches and other software are installed on an ad-hoc basis.
3. Operations staff manages all testing and production environments. There is a standard install process, and changes are applied manually after they have been approved.
4. There is a fully automated process for creating environments. All changes are pushed out by an automated system. Only operations staff can perform changes to these environments, following approval.</t>
  </si>
  <si>
    <t>If you lost one of your environments due to a catastrophic hardware failure, how would you re-create it?</t>
  </si>
  <si>
    <t>1. No idea what was on the box.
2. We have a pretty good idea of what was on the boxes, so we should be able to recreate it in a day or two.
3. We have a standard installation procedure, some of which is carried out manually. Installed software and patch levels are recorded.
4. A set of fully automated processes are used to install and configure the operating system and middleware, based on configuration information stored in CMDB.</t>
  </si>
  <si>
    <t xml:space="preserve">Team composition </t>
  </si>
  <si>
    <t>1. Dev &amp; Ops are separate team, never interacts during development activities. Dev handover it after all the activities  
2. Dev&amp;Ops are separate teams, Ops is involved sparingly, when somebody feels like…
3. Ops specific to Application are involved systemically from the beginning of release plan, along with feature user stories, there are stories of Ops and detention of done is constrained with Ops requirement. Ops bandwidth allocated to sprint teams during a release 
4. One single team - DevOps team, no differentiation between Dev &amp; Ops.</t>
  </si>
  <si>
    <t>Resilience &amp; Disaster Recovery:</t>
  </si>
  <si>
    <t>Recovery Environment shared with other environments
TTR(Time taken to recover) is &gt; 12 hrs.
RPO (Recovery Point Objective) is  &gt; 12 hours behind BAU
Process to bring system in alignment with BAU  is Un-documented/ unpredictable.</t>
  </si>
  <si>
    <t>Recovery Environment Dedicated but not identical to Prod (e.g. different zone, size etc.)
TTR(Time taken to recover) &gt; 8 &amp; &lt;12 hours
RPO &gt; 8 &amp; &lt;12 hours behind BAU
Process to bring system in alignment with BAU is mostly document only few scenarios are unpredictable</t>
  </si>
  <si>
    <t>Recovery Environment dedicated &amp; same zone but not synchronised with Prod
TTR(Time taken to recover) &gt; 4hrs &amp; &lt; 8 hrs.
RPO &gt; 4 &amp; &lt;8 hours behind BAU
Process to bring system in alignment with BAU is mostly document &amp; process is 100% predictable</t>
  </si>
  <si>
    <t>Recovery Environment dedicated &amp; same zone &amp; replicated periodically to synchronise with Prod
TTR(Time taken to recover) &lt; 4 hrs.
RPO &lt; 4 hrs. behind BAU
Process to bring system in alignment with BAU is mostly document &amp; partially automated</t>
  </si>
  <si>
    <t>Application Currency Mgmt:</t>
  </si>
  <si>
    <t>Status of Packages patches is Several major upgrades behind/ vendor support has ended
Status of product patches is Several major upgrades behind/ vendor support has ended
Status of OS patches is Several major upgrades behind/ vendor support has ended
Level of Risk due to outstanding patches is High &amp; mitigation is not planned 
Risk assessment status - Not available
Status of assessment to security risks &amp; approvals - Not available</t>
  </si>
  <si>
    <t>Status of Packages patches Is &gt; 7 upgrades behind/ but vendor support available
Status of product patches is &gt; 7 upgrades behind/ but vendor support available
Status of OS patches is &gt; 7 upgrades behind/ but vendor support available
Level of Risk due to outstanding patches is High &amp; mitigation is planned
Risk assessment status On request done but might be outdated
Status of assessment to security risks &amp; approvals On request done but might be outdated</t>
  </si>
  <si>
    <t>Status of Packages patches is &lt; 5 upgrades behind/ but vendor support available
Status of product patches is &lt; 5 upgrades behind/ but vendor support available
Status of OS patches &lt; 5 upgrades behind/ but vendor support available
Level of Risk due to outstanding patches Moderate &amp; mitigation is in place
Risk assessment status Assessment process is in place but happens ad-hoc manner
Status of assessment to security risks &amp; approvals Assessment process is in place but happens ad-hoc manner</t>
  </si>
  <si>
    <t>Status of Packages patches is that Recommended version however next stable version is available
Status of product patches is Recommended version however next stable version is available
Status of OS patches is Recommended version however next stable version is available
Level of Risk due to outstanding patches Low and mitigation is in place
Risk assessment status Process of periodic risk assessment in place
Status of assessment to security risks &amp; approvals -  Process of periodic risk assessment in place</t>
  </si>
  <si>
    <t>Q</t>
  </si>
  <si>
    <t>Question</t>
  </si>
  <si>
    <t>Answers</t>
  </si>
  <si>
    <t>Which SDLC process is followed ?</t>
  </si>
  <si>
    <t>A</t>
  </si>
  <si>
    <t>Waterfall</t>
  </si>
  <si>
    <t>B</t>
  </si>
  <si>
    <t>C</t>
  </si>
  <si>
    <t>D</t>
  </si>
  <si>
    <t>Others, please provide inputs in comment</t>
  </si>
  <si>
    <t>Is the applications falls under  Invest / Maintain / sustain /sunset ?</t>
  </si>
  <si>
    <t>Invest</t>
  </si>
  <si>
    <t xml:space="preserve">Maintain </t>
  </si>
  <si>
    <t>sustain</t>
  </si>
  <si>
    <t>sunset</t>
  </si>
  <si>
    <t>What is the typical rework / enhancement / refinement / Redesign Percentage ( % )  effort in each phase ?</t>
  </si>
  <si>
    <t>Requirement Phase</t>
  </si>
  <si>
    <t>Design Phase</t>
  </si>
  <si>
    <t>Build Phase</t>
  </si>
  <si>
    <t>Test Phase</t>
  </si>
  <si>
    <t>E</t>
  </si>
  <si>
    <t>Deploy Phase</t>
  </si>
  <si>
    <t>How the metrics/performance reporting happens usually, what is the frequency and who are  reported with?</t>
  </si>
  <si>
    <t>Monthly</t>
  </si>
  <si>
    <t>Weekly</t>
  </si>
  <si>
    <t>Quarterly</t>
  </si>
  <si>
    <t>No defined frequency, data can be taken at any time.</t>
  </si>
  <si>
    <t>How the baseline / performance targets for metrics is defined?</t>
  </si>
  <si>
    <t>There is no baseline</t>
  </si>
  <si>
    <t>Baseline is defined every quarter</t>
  </si>
  <si>
    <t>Baseline is defined every year</t>
  </si>
  <si>
    <t>No defined frequency for the baseline</t>
  </si>
  <si>
    <t>Is there any portal or system where in dashboard or performance trend from all the metrics are generated as single source of truth?</t>
  </si>
  <si>
    <t>How traceable are changes from requirements to Production? Are they automated?</t>
  </si>
  <si>
    <t>Tool sets vary and there is no centralized source of information such as requirements, design, codes, test cases etc.</t>
  </si>
  <si>
    <t>Limited traceability from requirement to release exists &amp; usually involves referencing multiple sources of information, few are manual.</t>
  </si>
  <si>
    <t>All changes to the product can be traced through a common tool set between teams that includes tracking of approval and test results (e.g. achieved by workflow defined in Jira)</t>
  </si>
  <si>
    <t>All changes and control on any element can be traced end to end.</t>
  </si>
  <si>
    <t>How are requirements captured and tracked ? Specify Tools used</t>
  </si>
  <si>
    <t>Requirements captured and traceked in word and excel documents</t>
  </si>
  <si>
    <t>Requirements are captured in tools and tracked as the release progresses</t>
  </si>
  <si>
    <t>Is traceability maintained between requirements to defects ? If How ?</t>
  </si>
  <si>
    <t>No traceability maintained</t>
  </si>
  <si>
    <t>Traceability maintained in excel</t>
  </si>
  <si>
    <t>Bidirectional traceability exists betweem requirements to tests to defects. Tool used for traceability</t>
  </si>
  <si>
    <t>Is an automated UAT/Non-Prod infrastructure monitoring system in place to generate events?</t>
  </si>
  <si>
    <t>No UAT/Non-Prod infrastructure monitoring in place</t>
  </si>
  <si>
    <t>Basic capacity monitoring in place with regards to UAT/Non-Prod infrastructure monitoring</t>
  </si>
  <si>
    <t>UAT/Non-Prod Infrastructure monitoring is established via real time parameters (e.g. capacity, response etc.) using native plugins with a mix of real time and log based monitoring with results displayed on public dashboard.</t>
  </si>
  <si>
    <t xml:space="preserve">UAT/Non-Prod Infrastructure monitoring is established, fully automated and even complex business activity monitoring is implemented </t>
  </si>
  <si>
    <t>Is an automated Production infrastructure  monitoring system in place to generate events?</t>
  </si>
  <si>
    <t>No Production infrastructure monitoring in place</t>
  </si>
  <si>
    <t>Basic capacity monitoring in place with regards to Prod infrastructure monitoring</t>
  </si>
  <si>
    <t>Production Infrastructure monitoring is established via real time parameters (e.g. capacity, response etc.) being monitored</t>
  </si>
  <si>
    <t>Production Infrastructure monitoring is established and even complex business activity monitoring is implemented</t>
  </si>
  <si>
    <t>Does the Event management process provide triggers for  incident/problem/change management processes?</t>
  </si>
  <si>
    <t>No Event Monitoring in place</t>
  </si>
  <si>
    <t>Events generated are monitored and manually triggered to raise incident/problem/change management process as required</t>
  </si>
  <si>
    <t>Events result in auto raising of Incident, Problem or change records based on business rules defined</t>
  </si>
  <si>
    <t>How are the generated events remediated?</t>
  </si>
  <si>
    <t>Events generated results in alerts requiring manual intervention</t>
  </si>
  <si>
    <t>Many events result in an auto-response (raising incidents etc.) while rectifying the fault but requires manual intervention</t>
  </si>
  <si>
    <t>Issues detected via monitoring typically results in automatic self-remediation of issues with appropriate system notification</t>
  </si>
  <si>
    <t>Is the Capacity utilization monitored periodically?</t>
  </si>
  <si>
    <t>Capacity Utilization not monitored</t>
  </si>
  <si>
    <t>Capacity Utilization tracked regularly and corrective action also taken accordingly</t>
  </si>
  <si>
    <t xml:space="preserve">Auto scaling and auto remediation exists </t>
  </si>
  <si>
    <t>Is the Configuration Management Database (CMDB) up to date &amp; referred to manage Incident?</t>
  </si>
  <si>
    <t>No CMDB exists</t>
  </si>
  <si>
    <t>CMDB exists but not updated frequently or some information may be missing in CMDB related to particular incident(s)</t>
  </si>
  <si>
    <t>CMDB is available and upto date and provides most recent information for Incident Management Process</t>
  </si>
  <si>
    <t>No Service Catalogue exists</t>
  </si>
  <si>
    <t xml:space="preserve">Service Catalogue is not updated </t>
  </si>
  <si>
    <t>Service Catalogue is updated for key/most services</t>
  </si>
  <si>
    <t>Service Catalogue is updated for all services regularly</t>
  </si>
  <si>
    <t>Are service levels including key business drivers &amp; efficiency metrics monitored &amp; reported for all stakeholders including third parties?</t>
  </si>
  <si>
    <t>Service levels including key business drivers &amp; efficiency metrics are not monitored</t>
  </si>
  <si>
    <t xml:space="preserve">Service Levels including key business drivers and efficiency metrics are monitored and reported manually </t>
  </si>
  <si>
    <t>Service Levels including key business drivers &amp; efficiency metrics are live, monitored &amp; reported via automated dashboards. Third party contracts trend downwards in TCO &amp; upwards in performance expectations &amp; are benchmarked against industry leaders.</t>
  </si>
  <si>
    <t>Does the service delivered tend to meet the SLAs, OLAs and Key business KPIs defined?</t>
  </si>
  <si>
    <t>No, service falls well short of SLAs</t>
  </si>
  <si>
    <t>Service tends to meet SLAs.</t>
  </si>
  <si>
    <t>Service meets SLAs, OLAs and most critical key business driver KPIs.</t>
  </si>
  <si>
    <t>Service meets SLAs, OLAs which address ALL key business driver KPIs.</t>
  </si>
  <si>
    <t>What are the development time KPI defined at application / service keeping engineering in focus - Collected automatically?</t>
  </si>
  <si>
    <t>How are the benefits analyzed from the metrics data?</t>
  </si>
  <si>
    <t>Scrum</t>
  </si>
  <si>
    <t>Kanban</t>
  </si>
  <si>
    <t>Please provide technology landscape for Application.</t>
  </si>
  <si>
    <t>What are the top three  challenges / Issues w.r.t. application?</t>
  </si>
  <si>
    <t>List out the key  DevOps transformation initiative started by the team e.g. tools adoption, automation, Agile practices, etc.</t>
  </si>
  <si>
    <t>What are the key KPIs (Service Level Agreements (SLAs) and Operational Level Agreements (OLAs)) defined at  application/ service with Business  - Collected automatically?</t>
  </si>
  <si>
    <t>What are the run time KPI (Service Level Agreements (SLAs) and Operational Level Agreements (OLAs)) defined at application / service keeping engineering in focus - Collected automatically?</t>
  </si>
  <si>
    <t>What are the key KPIs (Service Level Agreements (SLAs) and Operational Level Agreements (OLAs)) defined at  application/ service with Business  - Collected manually?</t>
  </si>
  <si>
    <t>What are the development time KPI (Service Level Agreements (SLAs) and Operational Level Agreements (OLAs)) defined at application / service keeping engineering in focus - Collected manually?</t>
  </si>
  <si>
    <t>What are the run time KPI (Service Level Agreements (SLAs) and Operational Level Agreements (OLAs)) defined at application / service keeping engineering in focus - Collected Manually?</t>
  </si>
  <si>
    <t>Is the Application/Service rolled out and updated in Service/Application Catalogue?</t>
  </si>
  <si>
    <t>Number of vendors involved in  SDLC cycle and what do they do in SDLC ?</t>
  </si>
  <si>
    <t>Please write briefly on front end, middle layer, backend, ETL or any other component in use with speicfic information here.</t>
  </si>
  <si>
    <t>Does the application/service delivered tend to meet the KPI defined?</t>
  </si>
  <si>
    <t>Are KPIs reviewed periodically with Business?</t>
  </si>
  <si>
    <t>No reviews for KPIs has been done</t>
  </si>
  <si>
    <t>KPIs are reviewed with Business only during change in requirements</t>
  </si>
  <si>
    <t>KPIs are reviewed with Business on an adhoc basis</t>
  </si>
  <si>
    <t xml:space="preserve">KPIs are reviewed with Business &amp; revised based on Customer feedback, performance data etc. on a regular intervals.
</t>
  </si>
  <si>
    <t>Application/service delivery tends to meet KPIs</t>
  </si>
  <si>
    <t>No, application/service delivery falls well short of KPIs</t>
  </si>
  <si>
    <t xml:space="preserve">Dev &amp; Ops are separate team, never interacts during development activities. Dev handover it after all the activities  </t>
  </si>
  <si>
    <t>Dev&amp;Ops are separate teams, Ops is involved sparingly, when somebody feels like…</t>
  </si>
  <si>
    <t xml:space="preserve">Ops specific to Application are involved systemically from the beginning of release plan, along with feature user stories, there are stories of Ops and detention of done is constrained with Ops requirement. Ops bandwidth allocated to sprint teams during a release </t>
  </si>
  <si>
    <t>One single team - DevOps team, no differentiation between Dev &amp; Ops.</t>
  </si>
  <si>
    <t>Are NFRs part of initial requirement capture or after thought?</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</si>
</sst>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11"/>
      <name val="Calibri"/>
      <family val="2"/>
      <scheme val="minor"/>
    </font>
    <font>
      <b/>
      <sz val="11"/>
      <color rgb="FFFF0000"/>
      <name val="Calibri"/>
      <family val="2"/>
      <scheme val="minor"/>
    </font>
    <font>
      <sz val="9"/>
      <color indexed="81"/>
      <name val="Tahoma"/>
      <family val="2"/>
    </font>
    <font>
      <b/>
      <sz val="9"/>
      <color indexed="81"/>
      <name val="Tahoma"/>
      <family val="2"/>
    </font>
    <font>
      <b/>
      <sz val="14"/>
      <color theme="1"/>
      <name val="Calibri"/>
      <family val="2"/>
      <scheme val="minor"/>
    </font>
    <font>
      <b/>
      <sz val="18"/>
      <color theme="1"/>
      <name val="Calibri"/>
      <family val="2"/>
      <scheme val="minor"/>
    </font>
    <font>
      <b/>
      <sz val="20"/>
      <color theme="1"/>
      <name val="Calibri"/>
      <family val="2"/>
      <scheme val="minor"/>
    </font>
    <font>
      <sz val="11"/>
      <color rgb="FF000000"/>
      <name val="Calibri"/>
      <family val="2"/>
      <scheme val="minor"/>
    </font>
    <font>
      <b/>
      <sz val="11"/>
      <color rgb="FF000000"/>
      <name val="Calibri"/>
      <family val="2"/>
      <scheme val="minor"/>
    </font>
    <font>
      <b/>
      <sz val="18"/>
      <color theme="0"/>
      <name val="Calibri"/>
      <family val="2"/>
      <scheme val="minor"/>
    </font>
    <font>
      <b/>
      <sz val="8"/>
      <color rgb="FF000000"/>
      <name val="Calibri"/>
    </font>
    <font>
      <b/>
      <sz val="11"/>
      <color theme="0"/>
      <name val="Calibri"/>
      <family val="2"/>
      <scheme val="minor"/>
    </font>
    <font>
      <b/>
      <sz val="12"/>
      <color theme="1"/>
      <name val="Calibri"/>
      <family val="2"/>
      <scheme val="minor"/>
    </font>
    <font>
      <sz val="12"/>
      <color theme="1"/>
      <name val="Calibri"/>
      <family val="2"/>
      <scheme val="minor"/>
    </font>
    <font>
      <sz val="12"/>
      <name val="Calibri"/>
      <family val="2"/>
      <scheme val="minor"/>
    </font>
  </fonts>
  <fills count="14">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rgb="FF4BD0FF"/>
        <bgColor indexed="64"/>
      </patternFill>
    </fill>
    <fill>
      <patternFill patternType="solid">
        <fgColor theme="1"/>
        <bgColor indexed="64"/>
      </patternFill>
    </fill>
    <fill>
      <patternFill patternType="solid">
        <fgColor rgb="FFECECEC"/>
        <bgColor rgb="FFECECEC"/>
      </patternFill>
    </fill>
    <fill>
      <patternFill patternType="solid">
        <fgColor rgb="FFDADADA"/>
        <bgColor rgb="FFDADADA"/>
      </patternFill>
    </fill>
    <fill>
      <patternFill patternType="solid">
        <fgColor rgb="FFC8C8C8"/>
        <bgColor rgb="FFC8C8C8"/>
      </patternFill>
    </fill>
    <fill>
      <patternFill patternType="solid">
        <fgColor rgb="FF7B7B7B"/>
        <bgColor rgb="FF7B7B7B"/>
      </patternFill>
    </fill>
    <fill>
      <patternFill patternType="solid">
        <fgColor rgb="FFBFBFBF"/>
        <bgColor rgb="FFBFBFBF"/>
      </patternFill>
    </fill>
    <fill>
      <patternFill patternType="solid">
        <fgColor rgb="FF00B0F0"/>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style="thin">
        <color rgb="FF000000"/>
      </right>
      <top style="thin">
        <color rgb="FF000000"/>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55">
    <xf numFmtId="0" fontId="0" fillId="0" borderId="0" xfId="0"/>
    <xf numFmtId="0" fontId="0" fillId="0" borderId="0" xfId="0" applyAlignment="1">
      <alignment wrapText="1"/>
    </xf>
    <xf numFmtId="0" fontId="1"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0" borderId="1" xfId="0" applyFont="1" applyBorder="1"/>
    <xf numFmtId="0" fontId="0" fillId="2" borderId="1" xfId="0" applyFill="1" applyBorder="1"/>
    <xf numFmtId="0" fontId="0" fillId="0" borderId="1" xfId="0" applyBorder="1" applyAlignment="1">
      <alignment wrapText="1"/>
    </xf>
    <xf numFmtId="0" fontId="0" fillId="2" borderId="1" xfId="0" applyFill="1" applyBorder="1" applyAlignment="1">
      <alignment wrapText="1"/>
    </xf>
    <xf numFmtId="0" fontId="1" fillId="0" borderId="1" xfId="0" applyFont="1" applyBorder="1" applyAlignment="1">
      <alignment horizontal="center" vertical="center" wrapText="1"/>
    </xf>
    <xf numFmtId="0" fontId="0" fillId="3" borderId="1" xfId="0" applyFill="1" applyBorder="1" applyAlignment="1">
      <alignment wrapText="1"/>
    </xf>
    <xf numFmtId="0" fontId="2" fillId="3" borderId="1" xfId="0" applyFont="1" applyFill="1" applyBorder="1" applyAlignment="1">
      <alignment horizontal="center" vertical="center"/>
    </xf>
    <xf numFmtId="0" fontId="0" fillId="0" borderId="0" xfId="0" applyFill="1"/>
    <xf numFmtId="0" fontId="0" fillId="3" borderId="2" xfId="0" applyFill="1" applyBorder="1"/>
    <xf numFmtId="0" fontId="0" fillId="2" borderId="3" xfId="0" applyFill="1" applyBorder="1"/>
    <xf numFmtId="0" fontId="0" fillId="4" borderId="1" xfId="0" applyFill="1" applyBorder="1" applyAlignment="1">
      <alignment horizontal="left"/>
    </xf>
    <xf numFmtId="0" fontId="0" fillId="5" borderId="3" xfId="0" applyFill="1" applyBorder="1"/>
    <xf numFmtId="0" fontId="0" fillId="4" borderId="4" xfId="0" applyFill="1" applyBorder="1" applyAlignment="1">
      <alignment horizontal="left"/>
    </xf>
    <xf numFmtId="0" fontId="0" fillId="4" borderId="1" xfId="0" applyFill="1" applyBorder="1" applyAlignment="1">
      <alignment horizontal="left" vertical="center"/>
    </xf>
    <xf numFmtId="0" fontId="0" fillId="4" borderId="1" xfId="0" applyFill="1" applyBorder="1" applyAlignment="1">
      <alignment wrapText="1"/>
    </xf>
    <xf numFmtId="0" fontId="1" fillId="0" borderId="0" xfId="0" applyFont="1" applyAlignment="1">
      <alignment horizontal="center" vertical="center" wrapText="1"/>
    </xf>
    <xf numFmtId="0" fontId="0" fillId="0" borderId="1" xfId="0" applyBorder="1" applyAlignment="1">
      <alignment horizontal="left" vertical="center"/>
    </xf>
    <xf numFmtId="0" fontId="0" fillId="0" borderId="0" xfId="0" applyBorder="1"/>
    <xf numFmtId="0" fontId="0" fillId="0" borderId="0" xfId="0" applyAlignment="1">
      <alignment vertical="center" wrapText="1"/>
    </xf>
    <xf numFmtId="0" fontId="0" fillId="0" borderId="0" xfId="0" applyAlignment="1">
      <alignment horizontal="left" vertical="center" wrapText="1"/>
    </xf>
    <xf numFmtId="0" fontId="0" fillId="0" borderId="0" xfId="0" applyBorder="1" applyAlignment="1">
      <alignment wrapText="1"/>
    </xf>
    <xf numFmtId="0" fontId="0" fillId="0" borderId="0" xfId="0" applyFill="1" applyAlignment="1">
      <alignment horizontal="left" vertical="center" wrapText="1"/>
    </xf>
    <xf numFmtId="0" fontId="0" fillId="0" borderId="0" xfId="0" applyBorder="1" applyAlignment="1">
      <alignment horizontal="left" vertical="center"/>
    </xf>
    <xf numFmtId="0" fontId="0" fillId="0" borderId="0" xfId="0" applyBorder="1" applyAlignment="1">
      <alignment horizontal="left"/>
    </xf>
    <xf numFmtId="0" fontId="0" fillId="0" borderId="1" xfId="0" applyFill="1" applyBorder="1"/>
    <xf numFmtId="0" fontId="0" fillId="0" borderId="0" xfId="0" applyBorder="1" applyAlignment="1">
      <alignment horizontal="left" vertical="center" wrapText="1"/>
    </xf>
    <xf numFmtId="0" fontId="0" fillId="2" borderId="1" xfId="0" applyFont="1" applyFill="1" applyBorder="1"/>
    <xf numFmtId="0" fontId="0" fillId="0" borderId="1" xfId="0" applyFill="1" applyBorder="1" applyAlignment="1">
      <alignment wrapText="1"/>
    </xf>
    <xf numFmtId="0" fontId="0" fillId="0" borderId="1" xfId="0" applyBorder="1" applyAlignment="1">
      <alignment horizontal="left"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7" fillId="0" borderId="0" xfId="0" applyFont="1"/>
    <xf numFmtId="0" fontId="0" fillId="0" borderId="0" xfId="0" applyBorder="1" applyAlignment="1">
      <alignment horizontal="center" vertical="center"/>
    </xf>
    <xf numFmtId="0" fontId="0" fillId="0" borderId="0" xfId="0" applyFill="1" applyBorder="1" applyAlignment="1">
      <alignment horizontal="center" vertical="center"/>
    </xf>
    <xf numFmtId="0" fontId="0" fillId="0" borderId="0" xfId="0" applyBorder="1" applyAlignment="1">
      <alignment horizontal="center" vertical="center" wrapText="1"/>
    </xf>
    <xf numFmtId="0" fontId="0" fillId="0" borderId="0" xfId="0" applyAlignment="1">
      <alignment horizontal="center" vertical="center" wrapText="1"/>
    </xf>
    <xf numFmtId="0" fontId="6" fillId="0" borderId="0" xfId="0" applyFont="1" applyAlignment="1">
      <alignment horizontal="center" vertical="center" wrapText="1"/>
    </xf>
    <xf numFmtId="0" fontId="0" fillId="4" borderId="1" xfId="0" applyFill="1" applyBorder="1" applyAlignment="1">
      <alignment horizontal="left" vertical="center" wrapText="1"/>
    </xf>
    <xf numFmtId="0" fontId="0" fillId="0" borderId="0" xfId="0" applyBorder="1" applyAlignment="1">
      <alignment vertical="center"/>
    </xf>
    <xf numFmtId="0" fontId="0" fillId="0" borderId="0" xfId="0" applyFill="1" applyBorder="1" applyAlignment="1">
      <alignment vertical="center"/>
    </xf>
    <xf numFmtId="0" fontId="0" fillId="0" borderId="0" xfId="0" applyAlignment="1">
      <alignment vertical="center"/>
    </xf>
    <xf numFmtId="0" fontId="0" fillId="4" borderId="1" xfId="0" applyFill="1" applyBorder="1" applyAlignment="1">
      <alignment horizontal="left" vertical="center" wrapText="1"/>
    </xf>
    <xf numFmtId="0" fontId="0" fillId="2" borderId="6" xfId="0" applyFill="1" applyBorder="1"/>
    <xf numFmtId="0" fontId="9" fillId="0" borderId="1" xfId="0" applyFont="1" applyBorder="1" applyAlignment="1">
      <alignment vertical="center"/>
    </xf>
    <xf numFmtId="0" fontId="9" fillId="0" borderId="1" xfId="0" applyFont="1" applyBorder="1" applyAlignment="1">
      <alignment vertical="center" wrapText="1"/>
    </xf>
    <xf numFmtId="0" fontId="0" fillId="2" borderId="6" xfId="0" applyFill="1" applyBorder="1" applyAlignment="1">
      <alignment wrapText="1"/>
    </xf>
    <xf numFmtId="0" fontId="1" fillId="0" borderId="6" xfId="0" applyFont="1" applyBorder="1" applyAlignment="1">
      <alignment horizontal="center" vertical="center" wrapText="1"/>
    </xf>
    <xf numFmtId="0" fontId="10" fillId="0" borderId="1" xfId="0" applyFont="1" applyBorder="1" applyAlignment="1">
      <alignment horizontal="center" vertical="center" wrapText="1"/>
    </xf>
    <xf numFmtId="0" fontId="0" fillId="0" borderId="6" xfId="0" applyBorder="1" applyAlignment="1">
      <alignment wrapText="1"/>
    </xf>
    <xf numFmtId="0" fontId="0" fillId="0" borderId="5" xfId="0" applyFill="1" applyBorder="1" applyAlignment="1">
      <alignment vertical="center" wrapText="1"/>
    </xf>
    <xf numFmtId="0" fontId="0" fillId="0" borderId="6" xfId="0" applyFill="1" applyBorder="1" applyAlignment="1">
      <alignment vertical="center" wrapText="1"/>
    </xf>
    <xf numFmtId="0" fontId="9" fillId="0" borderId="1" xfId="0" applyFont="1" applyBorder="1" applyAlignment="1">
      <alignment horizontal="left" vertical="center"/>
    </xf>
    <xf numFmtId="0" fontId="0" fillId="0" borderId="0" xfId="0" applyFill="1" applyBorder="1" applyAlignment="1">
      <alignment horizontal="left"/>
    </xf>
    <xf numFmtId="0" fontId="0" fillId="0" borderId="0" xfId="0" applyAlignment="1">
      <alignment horizontal="left" wrapText="1"/>
    </xf>
    <xf numFmtId="0" fontId="0" fillId="0" borderId="0" xfId="0" applyBorder="1" applyAlignment="1">
      <alignment horizontal="left" wrapText="1"/>
    </xf>
    <xf numFmtId="0" fontId="10" fillId="0" borderId="1" xfId="0" applyFont="1" applyBorder="1" applyAlignment="1">
      <alignment horizontal="left" vertical="center"/>
    </xf>
    <xf numFmtId="1" fontId="8" fillId="0" borderId="0" xfId="0" applyNumberFormat="1" applyFont="1" applyAlignment="1">
      <alignment vertical="center" wrapText="1"/>
    </xf>
    <xf numFmtId="1" fontId="0" fillId="0" borderId="0" xfId="0" applyNumberFormat="1" applyAlignment="1">
      <alignment horizontal="center" vertical="center"/>
    </xf>
    <xf numFmtId="0" fontId="6" fillId="0" borderId="0" xfId="0" applyFont="1" applyAlignment="1">
      <alignment horizontal="center" vertical="center"/>
    </xf>
    <xf numFmtId="0" fontId="11" fillId="6" borderId="0" xfId="0" applyFont="1" applyFill="1" applyAlignment="1">
      <alignment horizontal="center" vertical="center"/>
    </xf>
    <xf numFmtId="0" fontId="0" fillId="0" borderId="1" xfId="0" applyBorder="1" applyAlignment="1">
      <alignment horizontal="left" vertical="center" wrapText="1"/>
    </xf>
    <xf numFmtId="0" fontId="0" fillId="4" borderId="1" xfId="0" applyFill="1" applyBorder="1" applyAlignment="1">
      <alignment horizontal="left" vertical="center" wrapText="1"/>
    </xf>
    <xf numFmtId="0" fontId="0" fillId="0" borderId="7" xfId="0" applyBorder="1"/>
    <xf numFmtId="0" fontId="0" fillId="2" borderId="7" xfId="0" applyFill="1" applyBorder="1"/>
    <xf numFmtId="0" fontId="0" fillId="4" borderId="7" xfId="0" applyFill="1" applyBorder="1" applyAlignment="1">
      <alignment horizontal="left" vertical="center"/>
    </xf>
    <xf numFmtId="0" fontId="0" fillId="0" borderId="1" xfId="0" applyFill="1" applyBorder="1" applyAlignment="1">
      <alignment horizontal="left"/>
    </xf>
    <xf numFmtId="0" fontId="0" fillId="0" borderId="7" xfId="0" applyBorder="1" applyAlignment="1">
      <alignment wrapText="1"/>
    </xf>
    <xf numFmtId="0" fontId="0" fillId="2" borderId="7" xfId="0" applyFill="1" applyBorder="1" applyAlignment="1">
      <alignment wrapText="1"/>
    </xf>
    <xf numFmtId="0" fontId="0" fillId="4" borderId="7" xfId="0" applyFill="1" applyBorder="1" applyAlignment="1">
      <alignment horizontal="left" vertical="center" wrapText="1"/>
    </xf>
    <xf numFmtId="0" fontId="0" fillId="0" borderId="1" xfId="0" applyFill="1" applyBorder="1" applyAlignment="1">
      <alignment horizontal="center" vertical="center"/>
    </xf>
    <xf numFmtId="0" fontId="12" fillId="7" borderId="8" xfId="0" applyFont="1" applyFill="1" applyBorder="1" applyAlignment="1">
      <alignment horizontal="left" vertical="top" wrapText="1"/>
    </xf>
    <xf numFmtId="0" fontId="12" fillId="8" borderId="8" xfId="0" applyFont="1" applyFill="1" applyBorder="1" applyAlignment="1">
      <alignment horizontal="left" vertical="top" wrapText="1"/>
    </xf>
    <xf numFmtId="0" fontId="12" fillId="11" borderId="10" xfId="0" applyFont="1" applyFill="1" applyBorder="1" applyAlignment="1">
      <alignment vertical="center"/>
    </xf>
    <xf numFmtId="0" fontId="13" fillId="12" borderId="1" xfId="0" applyFont="1" applyFill="1" applyBorder="1" applyAlignment="1">
      <alignment horizontal="center"/>
    </xf>
    <xf numFmtId="0" fontId="13" fillId="12" borderId="1" xfId="0" applyFont="1" applyFill="1" applyBorder="1" applyAlignment="1">
      <alignment horizontal="center" wrapText="1"/>
    </xf>
    <xf numFmtId="0" fontId="1" fillId="0" borderId="1" xfId="0" applyFont="1" applyBorder="1" applyAlignment="1" applyProtection="1">
      <alignment horizontal="center" vertical="center" wrapText="1"/>
    </xf>
    <xf numFmtId="0" fontId="0" fillId="0" borderId="1" xfId="0" applyFont="1" applyFill="1" applyBorder="1" applyAlignment="1">
      <alignment vertical="center" wrapText="1"/>
    </xf>
    <xf numFmtId="0" fontId="0" fillId="0" borderId="1" xfId="0" applyFont="1" applyBorder="1" applyAlignment="1">
      <alignment horizontal="left" vertical="top" wrapText="1"/>
    </xf>
    <xf numFmtId="0" fontId="0" fillId="0" borderId="1" xfId="0" applyFont="1" applyFill="1" applyBorder="1" applyAlignment="1">
      <alignment horizontal="left" vertical="center" wrapText="1"/>
    </xf>
    <xf numFmtId="0" fontId="0" fillId="0" borderId="1" xfId="0" applyFont="1" applyBorder="1" applyAlignment="1">
      <alignment vertical="center" wrapText="1"/>
    </xf>
    <xf numFmtId="0" fontId="1" fillId="0" borderId="1" xfId="0" applyFont="1" applyBorder="1" applyAlignment="1">
      <alignment horizontal="center" vertical="center"/>
    </xf>
    <xf numFmtId="0" fontId="14" fillId="0" borderId="1" xfId="0" applyFont="1" applyBorder="1" applyAlignment="1" applyProtection="1">
      <alignment horizontal="center" vertical="center" wrapText="1"/>
    </xf>
    <xf numFmtId="0" fontId="15" fillId="0" borderId="1" xfId="0" applyFont="1" applyBorder="1" applyAlignment="1" applyProtection="1">
      <alignment wrapText="1"/>
    </xf>
    <xf numFmtId="0" fontId="15" fillId="0" borderId="1" xfId="0" applyFont="1" applyBorder="1" applyAlignment="1" applyProtection="1">
      <alignment vertical="center" wrapText="1"/>
    </xf>
    <xf numFmtId="0" fontId="14" fillId="0" borderId="1" xfId="0" applyFont="1" applyBorder="1" applyAlignment="1">
      <alignment horizontal="center" vertical="center" wrapText="1"/>
    </xf>
    <xf numFmtId="0" fontId="15" fillId="0" borderId="1" xfId="0" applyFont="1" applyBorder="1" applyProtection="1"/>
    <xf numFmtId="0" fontId="15" fillId="13" borderId="1" xfId="0" applyFont="1" applyFill="1" applyBorder="1" applyAlignment="1">
      <alignment vertical="top" wrapText="1"/>
    </xf>
    <xf numFmtId="0" fontId="14" fillId="0" borderId="1" xfId="0" applyFont="1" applyBorder="1" applyAlignment="1">
      <alignment horizontal="center" vertical="center"/>
    </xf>
    <xf numFmtId="0" fontId="0" fillId="0" borderId="1" xfId="0" applyBorder="1" applyAlignment="1" applyProtection="1">
      <alignment wrapText="1"/>
    </xf>
    <xf numFmtId="0" fontId="0" fillId="0" borderId="1" xfId="0" applyBorder="1" applyAlignment="1" applyProtection="1">
      <alignment vertical="center" wrapText="1"/>
    </xf>
    <xf numFmtId="0" fontId="14" fillId="0" borderId="15" xfId="0" applyFont="1" applyFill="1" applyBorder="1" applyAlignment="1">
      <alignment horizontal="center" vertical="center" wrapText="1"/>
    </xf>
    <xf numFmtId="0" fontId="16" fillId="0" borderId="0" xfId="0" applyFont="1" applyAlignment="1">
      <alignment wrapText="1"/>
    </xf>
    <xf numFmtId="0" fontId="15" fillId="0" borderId="13" xfId="0" applyFont="1" applyBorder="1" applyAlignment="1" applyProtection="1">
      <alignment horizontal="left" vertical="top" wrapText="1"/>
    </xf>
    <xf numFmtId="0" fontId="14" fillId="0" borderId="1" xfId="0" applyFont="1" applyBorder="1" applyAlignment="1" applyProtection="1">
      <alignment horizontal="center" vertical="center"/>
    </xf>
    <xf numFmtId="0" fontId="15" fillId="0" borderId="1" xfId="0" applyFont="1" applyBorder="1" applyAlignment="1" applyProtection="1">
      <alignment horizontal="left" vertical="center" wrapText="1"/>
    </xf>
    <xf numFmtId="0" fontId="14" fillId="0" borderId="7" xfId="0" applyFont="1" applyBorder="1" applyAlignment="1">
      <alignment horizontal="center" vertical="center" wrapText="1"/>
    </xf>
    <xf numFmtId="0" fontId="14" fillId="0" borderId="16" xfId="0" applyFont="1" applyBorder="1" applyAlignment="1">
      <alignment horizontal="center" vertical="center" wrapText="1"/>
    </xf>
    <xf numFmtId="0" fontId="15" fillId="13" borderId="7" xfId="0" applyFont="1" applyFill="1" applyBorder="1" applyAlignment="1">
      <alignment horizontal="left" vertical="top" wrapText="1"/>
    </xf>
    <xf numFmtId="0" fontId="15" fillId="13" borderId="1" xfId="0" applyFont="1" applyFill="1" applyBorder="1" applyAlignment="1">
      <alignment horizontal="left" vertical="top" wrapText="1"/>
    </xf>
    <xf numFmtId="0" fontId="0" fillId="0" borderId="1" xfId="0" applyFont="1" applyBorder="1" applyAlignment="1">
      <alignment horizontal="left" vertical="center" wrapText="1"/>
    </xf>
    <xf numFmtId="0" fontId="15" fillId="0" borderId="6" xfId="0" applyFont="1" applyBorder="1" applyAlignment="1" applyProtection="1">
      <alignment horizontal="left" vertical="center" wrapText="1"/>
    </xf>
    <xf numFmtId="0" fontId="15" fillId="0" borderId="6" xfId="0" applyFont="1" applyBorder="1" applyAlignment="1">
      <alignment horizontal="left" vertical="center" wrapText="1"/>
    </xf>
    <xf numFmtId="0" fontId="15" fillId="0" borderId="0" xfId="0" applyFont="1" applyBorder="1" applyAlignment="1" applyProtection="1">
      <alignment vertical="top" wrapText="1"/>
    </xf>
    <xf numFmtId="0" fontId="15" fillId="0" borderId="1" xfId="0" applyFont="1" applyBorder="1" applyAlignment="1" applyProtection="1">
      <alignment vertical="top" wrapText="1"/>
    </xf>
    <xf numFmtId="0" fontId="6" fillId="0" borderId="0" xfId="0" applyFont="1" applyAlignment="1">
      <alignment horizontal="center" vertical="center"/>
    </xf>
    <xf numFmtId="0" fontId="0" fillId="0" borderId="0" xfId="0" applyAlignment="1">
      <alignment horizontal="left" vertical="top" wrapText="1"/>
    </xf>
    <xf numFmtId="0" fontId="1" fillId="0" borderId="14" xfId="0" applyFont="1" applyBorder="1" applyAlignment="1">
      <alignment horizontal="center" vertical="center"/>
    </xf>
    <xf numFmtId="0" fontId="15" fillId="0" borderId="1" xfId="0" applyFont="1" applyBorder="1" applyAlignment="1">
      <alignment horizontal="left" vertical="center" wrapText="1"/>
    </xf>
    <xf numFmtId="0" fontId="15" fillId="0" borderId="7" xfId="0" applyFont="1" applyBorder="1" applyAlignment="1">
      <alignment horizontal="left" vertical="center" wrapText="1"/>
    </xf>
    <xf numFmtId="0" fontId="15" fillId="0" borderId="15" xfId="0" applyFont="1" applyBorder="1" applyAlignment="1">
      <alignment horizontal="left" vertical="center" wrapText="1"/>
    </xf>
    <xf numFmtId="0" fontId="15" fillId="0" borderId="16" xfId="0" applyFont="1" applyBorder="1" applyAlignment="1">
      <alignment horizontal="left" vertical="center" wrapText="1"/>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5" xfId="0" applyBorder="1" applyAlignment="1">
      <alignment horizontal="left" vertical="top" wrapText="1"/>
    </xf>
    <xf numFmtId="0" fontId="0" fillId="0" borderId="6" xfId="0" applyBorder="1" applyAlignment="1">
      <alignment horizontal="left" vertical="top" wrapText="1"/>
    </xf>
    <xf numFmtId="0" fontId="1" fillId="0" borderId="1" xfId="0" applyFont="1" applyBorder="1" applyAlignment="1">
      <alignment horizontal="center" vertical="center"/>
    </xf>
    <xf numFmtId="0" fontId="0" fillId="0" borderId="1" xfId="0" applyFont="1" applyBorder="1" applyAlignment="1">
      <alignment horizontal="left" vertical="center" wrapText="1"/>
    </xf>
    <xf numFmtId="0" fontId="1" fillId="0" borderId="1" xfId="0" applyFont="1" applyBorder="1" applyAlignment="1" applyProtection="1">
      <alignment horizontal="center" vertical="center"/>
    </xf>
    <xf numFmtId="0" fontId="0" fillId="0" borderId="1" xfId="0" applyFont="1" applyBorder="1" applyAlignment="1" applyProtection="1">
      <alignment horizontal="left" vertical="center" wrapText="1"/>
    </xf>
    <xf numFmtId="0" fontId="15" fillId="0" borderId="6" xfId="0" applyFont="1" applyBorder="1" applyAlignment="1">
      <alignment horizontal="left" vertical="center" wrapText="1"/>
    </xf>
    <xf numFmtId="0" fontId="14" fillId="0" borderId="1" xfId="0" applyFont="1" applyBorder="1" applyAlignment="1">
      <alignment horizontal="center" vertical="center"/>
    </xf>
    <xf numFmtId="0" fontId="15" fillId="0" borderId="11" xfId="0" applyFont="1" applyBorder="1" applyAlignment="1">
      <alignment horizontal="left" vertical="center" wrapText="1"/>
    </xf>
    <xf numFmtId="0" fontId="15" fillId="0" borderId="0" xfId="0" applyFont="1" applyBorder="1" applyAlignment="1">
      <alignment horizontal="left" vertical="center" wrapText="1"/>
    </xf>
    <xf numFmtId="1" fontId="8" fillId="0" borderId="0" xfId="0" applyNumberFormat="1" applyFont="1" applyAlignment="1">
      <alignment horizontal="center" vertical="center" wrapText="1"/>
    </xf>
    <xf numFmtId="0" fontId="0" fillId="0" borderId="1" xfId="0" applyBorder="1" applyAlignment="1" applyProtection="1">
      <alignment horizontal="left" vertical="center" wrapText="1"/>
    </xf>
    <xf numFmtId="0" fontId="0" fillId="0" borderId="1" xfId="0" applyBorder="1" applyAlignment="1">
      <alignment horizontal="left" vertical="center"/>
    </xf>
    <xf numFmtId="0" fontId="1" fillId="0" borderId="0" xfId="0" applyFont="1" applyBorder="1" applyAlignment="1">
      <alignment horizontal="center" vertical="center"/>
    </xf>
    <xf numFmtId="0" fontId="0" fillId="4" borderId="5" xfId="0" applyFill="1" applyBorder="1" applyAlignment="1">
      <alignment horizontal="left" vertical="center"/>
    </xf>
    <xf numFmtId="0" fontId="0" fillId="4" borderId="6" xfId="0" applyFill="1" applyBorder="1" applyAlignment="1">
      <alignment horizontal="left" vertical="center"/>
    </xf>
    <xf numFmtId="0" fontId="0" fillId="4" borderId="5" xfId="0" applyFill="1" applyBorder="1" applyAlignment="1">
      <alignment horizontal="left" vertical="center" wrapText="1"/>
    </xf>
    <xf numFmtId="0" fontId="0" fillId="4" borderId="6" xfId="0" applyFill="1" applyBorder="1" applyAlignment="1">
      <alignment horizontal="left" vertical="center" wrapText="1"/>
    </xf>
    <xf numFmtId="0" fontId="0" fillId="0" borderId="1" xfId="0" applyBorder="1" applyAlignment="1">
      <alignment horizontal="left" vertical="center" wrapText="1"/>
    </xf>
    <xf numFmtId="0" fontId="1" fillId="0" borderId="0" xfId="0" applyFont="1" applyAlignment="1">
      <alignment horizontal="center" vertical="center" wrapText="1"/>
    </xf>
    <xf numFmtId="0" fontId="0" fillId="4" borderId="1" xfId="0" applyFill="1" applyBorder="1" applyAlignment="1">
      <alignment horizontal="left" vertical="center" wrapText="1"/>
    </xf>
    <xf numFmtId="0" fontId="15" fillId="0" borderId="13" xfId="0" applyFont="1" applyBorder="1" applyAlignment="1" applyProtection="1">
      <alignment horizontal="left" vertical="top" wrapText="1"/>
    </xf>
    <xf numFmtId="0" fontId="15" fillId="0" borderId="0" xfId="0" applyFont="1" applyBorder="1" applyAlignment="1" applyProtection="1">
      <alignment horizontal="left" vertical="top" wrapText="1"/>
    </xf>
    <xf numFmtId="0" fontId="15" fillId="0" borderId="1" xfId="0" applyFont="1" applyBorder="1" applyAlignment="1" applyProtection="1">
      <alignment horizontal="left" vertical="center" wrapText="1"/>
    </xf>
    <xf numFmtId="0" fontId="9" fillId="0" borderId="1" xfId="0" applyFont="1" applyBorder="1" applyAlignment="1">
      <alignment vertical="center" wrapText="1"/>
    </xf>
    <xf numFmtId="0" fontId="12" fillId="9" borderId="9" xfId="0" applyFont="1" applyFill="1" applyBorder="1" applyAlignment="1">
      <alignment horizontal="left" vertical="top" wrapText="1"/>
    </xf>
    <xf numFmtId="0" fontId="12" fillId="9" borderId="0" xfId="0" applyFont="1" applyFill="1" applyBorder="1" applyAlignment="1">
      <alignment horizontal="left" vertical="top" wrapText="1"/>
    </xf>
    <xf numFmtId="0" fontId="12" fillId="10" borderId="9" xfId="0" applyFont="1" applyFill="1" applyBorder="1" applyAlignment="1">
      <alignment horizontal="left" vertical="top" wrapText="1"/>
    </xf>
    <xf numFmtId="0" fontId="12" fillId="10" borderId="0" xfId="0" applyFont="1" applyFill="1" applyBorder="1" applyAlignment="1">
      <alignment horizontal="left" vertical="top" wrapText="1"/>
    </xf>
    <xf numFmtId="0" fontId="12" fillId="9" borderId="9" xfId="0" applyFont="1" applyFill="1" applyBorder="1" applyAlignment="1">
      <alignment horizontal="center" vertical="top" wrapText="1"/>
    </xf>
    <xf numFmtId="0" fontId="12" fillId="9" borderId="0" xfId="0" applyFont="1" applyFill="1" applyBorder="1" applyAlignment="1">
      <alignment horizontal="center" vertical="top" wrapText="1"/>
    </xf>
  </cellXfs>
  <cellStyles count="1">
    <cellStyle name="Normal" xfId="0" builtinId="0"/>
  </cellStyles>
  <dxfs count="63">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font>
      <fill>
        <patternFill>
          <bgColor rgb="FFFF0000"/>
        </patternFill>
      </fill>
    </dxf>
  </dxfs>
  <tableStyles count="0" defaultTableStyle="TableStyleMedium2" defaultPivotStyle="PivotStyleLight16"/>
  <colors>
    <mruColors>
      <color rgb="FF4BD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Dev</a:t>
            </a:r>
            <a:r>
              <a:rPr lang="en-US" baseline="0"/>
              <a:t>Ops Adoption Maturity</a:t>
            </a:r>
            <a:endParaRPr lang="en-US"/>
          </a:p>
        </c:rich>
      </c:tx>
      <c:layout/>
      <c:overlay val="0"/>
      <c:spPr>
        <a:noFill/>
        <a:ln>
          <a:noFill/>
        </a:ln>
        <a:effectLst/>
      </c:spPr>
    </c:title>
    <c:autoTitleDeleted val="0"/>
    <c:plotArea>
      <c:layout/>
      <c:radarChart>
        <c:radarStyle val="marker"/>
        <c:varyColors val="0"/>
        <c:ser>
          <c:idx val="0"/>
          <c:order val="0"/>
          <c:tx>
            <c:strRef>
              <c:f>Results!$C$2</c:f>
              <c:strCache>
                <c:ptCount val="1"/>
                <c:pt idx="0">
                  <c:v>Score</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Results!$B$3:$B$12</c:f>
              <c:strCache>
                <c:ptCount val="10"/>
                <c:pt idx="0">
                  <c:v>Requirement Mgmt</c:v>
                </c:pt>
                <c:pt idx="1">
                  <c:v>Version Control</c:v>
                </c:pt>
                <c:pt idx="2">
                  <c:v>Unit Testing</c:v>
                </c:pt>
                <c:pt idx="3">
                  <c:v>Code Quality and Analytics</c:v>
                </c:pt>
                <c:pt idx="4">
                  <c:v>Build</c:v>
                </c:pt>
                <c:pt idx="5">
                  <c:v>Testing</c:v>
                </c:pt>
                <c:pt idx="6">
                  <c:v>User Acceptance Testing</c:v>
                </c:pt>
                <c:pt idx="7">
                  <c:v>Deploy</c:v>
                </c:pt>
                <c:pt idx="8">
                  <c:v>Release</c:v>
                </c:pt>
                <c:pt idx="9">
                  <c:v>Run Time</c:v>
                </c:pt>
              </c:strCache>
            </c:strRef>
          </c:cat>
          <c:val>
            <c:numRef>
              <c:f>Results!$C$3:$C$12</c:f>
              <c:numCache>
                <c:formatCode>0</c:formatCode>
                <c:ptCount val="10"/>
                <c:pt idx="0">
                  <c:v>15</c:v>
                </c:pt>
                <c:pt idx="1">
                  <c:v>46</c:v>
                </c:pt>
                <c:pt idx="2">
                  <c:v>40</c:v>
                </c:pt>
                <c:pt idx="3">
                  <c:v>41.333333333333336</c:v>
                </c:pt>
                <c:pt idx="4">
                  <c:v>66.666666666666671</c:v>
                </c:pt>
                <c:pt idx="5">
                  <c:v>63</c:v>
                </c:pt>
                <c:pt idx="6">
                  <c:v>68</c:v>
                </c:pt>
                <c:pt idx="7">
                  <c:v>38.444444444444457</c:v>
                </c:pt>
                <c:pt idx="8">
                  <c:v>52</c:v>
                </c:pt>
                <c:pt idx="9">
                  <c:v>76</c:v>
                </c:pt>
              </c:numCache>
            </c:numRef>
          </c:val>
        </c:ser>
        <c:ser>
          <c:idx val="1"/>
          <c:order val="1"/>
          <c:tx>
            <c:strRef>
              <c:f>Results!$D$2</c:f>
              <c:strCache>
                <c:ptCount val="1"/>
              </c:strCache>
            </c:strRef>
          </c:tx>
          <c:spPr>
            <a:ln w="28575" cap="rnd">
              <a:solidFill>
                <a:schemeClr val="accent2"/>
              </a:solidFill>
              <a:round/>
            </a:ln>
            <a:effectLst/>
          </c:spPr>
          <c:marker>
            <c:symbol val="none"/>
          </c:marker>
          <c:dLbls>
            <c:delete val="1"/>
          </c:dLbls>
          <c:cat>
            <c:strRef>
              <c:f>Results!$B$3:$B$12</c:f>
              <c:strCache>
                <c:ptCount val="10"/>
                <c:pt idx="0">
                  <c:v>Requirement Mgmt</c:v>
                </c:pt>
                <c:pt idx="1">
                  <c:v>Version Control</c:v>
                </c:pt>
                <c:pt idx="2">
                  <c:v>Unit Testing</c:v>
                </c:pt>
                <c:pt idx="3">
                  <c:v>Code Quality and Analytics</c:v>
                </c:pt>
                <c:pt idx="4">
                  <c:v>Build</c:v>
                </c:pt>
                <c:pt idx="5">
                  <c:v>Testing</c:v>
                </c:pt>
                <c:pt idx="6">
                  <c:v>User Acceptance Testing</c:v>
                </c:pt>
                <c:pt idx="7">
                  <c:v>Deploy</c:v>
                </c:pt>
                <c:pt idx="8">
                  <c:v>Release</c:v>
                </c:pt>
                <c:pt idx="9">
                  <c:v>Run Time</c:v>
                </c:pt>
              </c:strCache>
            </c:strRef>
          </c:cat>
          <c:val>
            <c:numRef>
              <c:f>Results!$D$3:$D$12</c:f>
              <c:numCache>
                <c:formatCode>General</c:formatCode>
                <c:ptCount val="10"/>
                <c:pt idx="0">
                  <c:v>100</c:v>
                </c:pt>
                <c:pt idx="1">
                  <c:v>100</c:v>
                </c:pt>
                <c:pt idx="2">
                  <c:v>100</c:v>
                </c:pt>
                <c:pt idx="3">
                  <c:v>100</c:v>
                </c:pt>
                <c:pt idx="4">
                  <c:v>100</c:v>
                </c:pt>
                <c:pt idx="5">
                  <c:v>100</c:v>
                </c:pt>
                <c:pt idx="6">
                  <c:v>100</c:v>
                </c:pt>
                <c:pt idx="7">
                  <c:v>100</c:v>
                </c:pt>
                <c:pt idx="8">
                  <c:v>100</c:v>
                </c:pt>
                <c:pt idx="9">
                  <c:v>100</c:v>
                </c:pt>
              </c:numCache>
            </c:numRef>
          </c:val>
        </c:ser>
        <c:dLbls>
          <c:showLegendKey val="0"/>
          <c:showVal val="1"/>
          <c:showCatName val="0"/>
          <c:showSerName val="0"/>
          <c:showPercent val="0"/>
          <c:showBubbleSize val="0"/>
        </c:dLbls>
        <c:axId val="188087296"/>
        <c:axId val="188510976"/>
      </c:radarChart>
      <c:catAx>
        <c:axId val="18808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10976"/>
        <c:crosses val="autoZero"/>
        <c:auto val="1"/>
        <c:lblAlgn val="ctr"/>
        <c:lblOffset val="100"/>
        <c:noMultiLvlLbl val="0"/>
      </c:catAx>
      <c:valAx>
        <c:axId val="1885109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087296"/>
        <c:crosses val="autoZero"/>
        <c:crossBetween val="between"/>
      </c:valAx>
      <c:spPr>
        <a:noFill/>
        <a:ln>
          <a:noFill/>
        </a:ln>
        <a:effectLst/>
      </c:spPr>
    </c:plotArea>
    <c:legend>
      <c:legendPos val="t"/>
      <c:legendEntry>
        <c:idx val="1"/>
        <c:delete val="1"/>
      </c:legendEntry>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2.emf"/><Relationship Id="rId5" Type="http://schemas.openxmlformats.org/officeDocument/2006/relationships/image" Target="../media/image10.emf"/><Relationship Id="rId4"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2619375</xdr:colOff>
          <xdr:row>5</xdr:row>
          <xdr:rowOff>152400</xdr:rowOff>
        </xdr:from>
        <xdr:to>
          <xdr:col>2</xdr:col>
          <xdr:colOff>104775</xdr:colOff>
          <xdr:row>7</xdr:row>
          <xdr:rowOff>142875</xdr:rowOff>
        </xdr:to>
        <xdr:sp macro="" textlink="">
          <xdr:nvSpPr>
            <xdr:cNvPr id="28673" name="btnRequirementMgmt_Calculate"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171450</xdr:rowOff>
        </xdr:from>
        <xdr:to>
          <xdr:col>3</xdr:col>
          <xdr:colOff>28575</xdr:colOff>
          <xdr:row>1</xdr:row>
          <xdr:rowOff>0</xdr:rowOff>
        </xdr:to>
        <xdr:sp macro="" textlink="">
          <xdr:nvSpPr>
            <xdr:cNvPr id="7169" name="ListBox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3714750</xdr:colOff>
          <xdr:row>25</xdr:row>
          <xdr:rowOff>9525</xdr:rowOff>
        </xdr:from>
        <xdr:to>
          <xdr:col>2</xdr:col>
          <xdr:colOff>66675</xdr:colOff>
          <xdr:row>26</xdr:row>
          <xdr:rowOff>142875</xdr:rowOff>
        </xdr:to>
        <xdr:sp macro="" textlink="">
          <xdr:nvSpPr>
            <xdr:cNvPr id="7178" name="btnVersionControl_Calculate" hidden="1">
              <a:extLst>
                <a:ext uri="{63B3BB69-23CF-44E3-9099-C40C66FF867C}">
                  <a14:compatExt spid="_x0000_s717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6</xdr:row>
          <xdr:rowOff>9525</xdr:rowOff>
        </xdr:from>
        <xdr:to>
          <xdr:col>3</xdr:col>
          <xdr:colOff>47625</xdr:colOff>
          <xdr:row>6</xdr:row>
          <xdr:rowOff>533400</xdr:rowOff>
        </xdr:to>
        <xdr:sp macro="" textlink="">
          <xdr:nvSpPr>
            <xdr:cNvPr id="8211" name="lstUnitTesting_WhatMetrics"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7</xdr:row>
          <xdr:rowOff>19050</xdr:rowOff>
        </xdr:from>
        <xdr:to>
          <xdr:col>3</xdr:col>
          <xdr:colOff>38100</xdr:colOff>
          <xdr:row>7</xdr:row>
          <xdr:rowOff>542925</xdr:rowOff>
        </xdr:to>
        <xdr:sp macro="" textlink="">
          <xdr:nvSpPr>
            <xdr:cNvPr id="8212" name="lstUnitTesting_WhereMetrics"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1666875</xdr:colOff>
          <xdr:row>9</xdr:row>
          <xdr:rowOff>171450</xdr:rowOff>
        </xdr:from>
        <xdr:to>
          <xdr:col>2</xdr:col>
          <xdr:colOff>76200</xdr:colOff>
          <xdr:row>11</xdr:row>
          <xdr:rowOff>123825</xdr:rowOff>
        </xdr:to>
        <xdr:sp macro="" textlink="">
          <xdr:nvSpPr>
            <xdr:cNvPr id="8220" name="btnUnitTesting_Calculate" hidden="1">
              <a:extLst>
                <a:ext uri="{63B3BB69-23CF-44E3-9099-C40C66FF867C}">
                  <a14:compatExt spid="_x0000_s822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171450</xdr:rowOff>
        </xdr:from>
        <xdr:to>
          <xdr:col>3</xdr:col>
          <xdr:colOff>38100</xdr:colOff>
          <xdr:row>1</xdr:row>
          <xdr:rowOff>0</xdr:rowOff>
        </xdr:to>
        <xdr:sp macro="" textlink="">
          <xdr:nvSpPr>
            <xdr:cNvPr id="9217" name="ListBox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19</xdr:row>
          <xdr:rowOff>19050</xdr:rowOff>
        </xdr:from>
        <xdr:to>
          <xdr:col>3</xdr:col>
          <xdr:colOff>47625</xdr:colOff>
          <xdr:row>19</xdr:row>
          <xdr:rowOff>542925</xdr:rowOff>
        </xdr:to>
        <xdr:sp macro="" textlink="">
          <xdr:nvSpPr>
            <xdr:cNvPr id="9241" name="ListBox8"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22</xdr:row>
          <xdr:rowOff>19050</xdr:rowOff>
        </xdr:from>
        <xdr:to>
          <xdr:col>3</xdr:col>
          <xdr:colOff>47625</xdr:colOff>
          <xdr:row>22</xdr:row>
          <xdr:rowOff>542925</xdr:rowOff>
        </xdr:to>
        <xdr:sp macro="" textlink="">
          <xdr:nvSpPr>
            <xdr:cNvPr id="9243" name="ListBox9"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23</xdr:row>
          <xdr:rowOff>19050</xdr:rowOff>
        </xdr:from>
        <xdr:to>
          <xdr:col>3</xdr:col>
          <xdr:colOff>47625</xdr:colOff>
          <xdr:row>23</xdr:row>
          <xdr:rowOff>542925</xdr:rowOff>
        </xdr:to>
        <xdr:sp macro="" textlink="">
          <xdr:nvSpPr>
            <xdr:cNvPr id="9244" name="ListBox10"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2266950</xdr:colOff>
          <xdr:row>26</xdr:row>
          <xdr:rowOff>9525</xdr:rowOff>
        </xdr:from>
        <xdr:to>
          <xdr:col>2</xdr:col>
          <xdr:colOff>85725</xdr:colOff>
          <xdr:row>28</xdr:row>
          <xdr:rowOff>0</xdr:rowOff>
        </xdr:to>
        <xdr:sp macro="" textlink="">
          <xdr:nvSpPr>
            <xdr:cNvPr id="9245" name="CommandButton1"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3448050</xdr:colOff>
          <xdr:row>8</xdr:row>
          <xdr:rowOff>171450</xdr:rowOff>
        </xdr:from>
        <xdr:to>
          <xdr:col>2</xdr:col>
          <xdr:colOff>104775</xdr:colOff>
          <xdr:row>10</xdr:row>
          <xdr:rowOff>171450</xdr:rowOff>
        </xdr:to>
        <xdr:sp macro="" textlink="">
          <xdr:nvSpPr>
            <xdr:cNvPr id="23555" name="btnPackaging_Calculate" hidden="1">
              <a:extLst>
                <a:ext uri="{63B3BB69-23CF-44E3-9099-C40C66FF867C}">
                  <a14:compatExt spid="_x0000_s2355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2657475</xdr:colOff>
          <xdr:row>11</xdr:row>
          <xdr:rowOff>0</xdr:rowOff>
        </xdr:from>
        <xdr:to>
          <xdr:col>2</xdr:col>
          <xdr:colOff>95250</xdr:colOff>
          <xdr:row>12</xdr:row>
          <xdr:rowOff>180975</xdr:rowOff>
        </xdr:to>
        <xdr:sp macro="" textlink="">
          <xdr:nvSpPr>
            <xdr:cNvPr id="24577" name="btnBuild_Calculate" hidden="1">
              <a:extLst>
                <a:ext uri="{63B3BB69-23CF-44E3-9099-C40C66FF867C}">
                  <a14:compatExt spid="_x0000_s24577"/>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3829050</xdr:colOff>
          <xdr:row>48</xdr:row>
          <xdr:rowOff>171450</xdr:rowOff>
        </xdr:from>
        <xdr:to>
          <xdr:col>2</xdr:col>
          <xdr:colOff>133350</xdr:colOff>
          <xdr:row>50</xdr:row>
          <xdr:rowOff>161925</xdr:rowOff>
        </xdr:to>
        <xdr:sp macro="" textlink="">
          <xdr:nvSpPr>
            <xdr:cNvPr id="39945" name="btnTesting_Calculate" hidden="1">
              <a:extLst>
                <a:ext uri="{63B3BB69-23CF-44E3-9099-C40C66FF867C}">
                  <a14:compatExt spid="_x0000_s3994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1314450</xdr:colOff>
          <xdr:row>7</xdr:row>
          <xdr:rowOff>9525</xdr:rowOff>
        </xdr:from>
        <xdr:to>
          <xdr:col>2</xdr:col>
          <xdr:colOff>66675</xdr:colOff>
          <xdr:row>9</xdr:row>
          <xdr:rowOff>0</xdr:rowOff>
        </xdr:to>
        <xdr:sp macro="" textlink="">
          <xdr:nvSpPr>
            <xdr:cNvPr id="40964" name="CommandButton1" hidden="1">
              <a:extLst>
                <a:ext uri="{63B3BB69-23CF-44E3-9099-C40C66FF867C}">
                  <a14:compatExt spid="_x0000_s40964"/>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4324350</xdr:colOff>
          <xdr:row>53</xdr:row>
          <xdr:rowOff>171450</xdr:rowOff>
        </xdr:from>
        <xdr:to>
          <xdr:col>3</xdr:col>
          <xdr:colOff>133350</xdr:colOff>
          <xdr:row>55</xdr:row>
          <xdr:rowOff>171450</xdr:rowOff>
        </xdr:to>
        <xdr:sp macro="" textlink="">
          <xdr:nvSpPr>
            <xdr:cNvPr id="42000" name="btnDeploy_Calculate" hidden="1">
              <a:extLst>
                <a:ext uri="{63B3BB69-23CF-44E3-9099-C40C66FF867C}">
                  <a14:compatExt spid="_x0000_s42000"/>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2533650</xdr:colOff>
          <xdr:row>9</xdr:row>
          <xdr:rowOff>171450</xdr:rowOff>
        </xdr:from>
        <xdr:to>
          <xdr:col>2</xdr:col>
          <xdr:colOff>104775</xdr:colOff>
          <xdr:row>11</xdr:row>
          <xdr:rowOff>171450</xdr:rowOff>
        </xdr:to>
        <xdr:sp macro="" textlink="">
          <xdr:nvSpPr>
            <xdr:cNvPr id="18439" name="btnRelease_Calculate" hidden="1">
              <a:extLst>
                <a:ext uri="{63B3BB69-23CF-44E3-9099-C40C66FF867C}">
                  <a14:compatExt spid="_x0000_s18439"/>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3829050</xdr:colOff>
          <xdr:row>9</xdr:row>
          <xdr:rowOff>0</xdr:rowOff>
        </xdr:from>
        <xdr:to>
          <xdr:col>2</xdr:col>
          <xdr:colOff>114300</xdr:colOff>
          <xdr:row>10</xdr:row>
          <xdr:rowOff>180975</xdr:rowOff>
        </xdr:to>
        <xdr:sp macro="" textlink="">
          <xdr:nvSpPr>
            <xdr:cNvPr id="43012" name="btnRunTime_Calculate" hidden="1">
              <a:extLst>
                <a:ext uri="{63B3BB69-23CF-44E3-9099-C40C66FF867C}">
                  <a14:compatExt spid="_x0000_s430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3057525</xdr:colOff>
          <xdr:row>10</xdr:row>
          <xdr:rowOff>171450</xdr:rowOff>
        </xdr:from>
        <xdr:to>
          <xdr:col>3</xdr:col>
          <xdr:colOff>133350</xdr:colOff>
          <xdr:row>13</xdr:row>
          <xdr:rowOff>0</xdr:rowOff>
        </xdr:to>
        <xdr:sp macro="" textlink="">
          <xdr:nvSpPr>
            <xdr:cNvPr id="35842" name="btnInfrastructure_Calculate" hidden="1">
              <a:extLst>
                <a:ext uri="{63B3BB69-23CF-44E3-9099-C40C66FF867C}">
                  <a14:compatExt spid="_x0000_s35842"/>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7620</xdr:rowOff>
    </xdr:from>
    <xdr:to>
      <xdr:col>14</xdr:col>
      <xdr:colOff>304800</xdr:colOff>
      <xdr:row>32</xdr:row>
      <xdr:rowOff>167640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0.emf"/><Relationship Id="rId3" Type="http://schemas.openxmlformats.org/officeDocument/2006/relationships/vmlDrawing" Target="../drawings/vmlDrawing4.vml"/><Relationship Id="rId7" Type="http://schemas.openxmlformats.org/officeDocument/2006/relationships/image" Target="../media/image8.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8.xml"/><Relationship Id="rId11" Type="http://schemas.openxmlformats.org/officeDocument/2006/relationships/image" Target="../media/image2.emf"/><Relationship Id="rId5" Type="http://schemas.openxmlformats.org/officeDocument/2006/relationships/image" Target="../media/image7.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image" Target="../media/image1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12.emf"/></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image" Target="../media/image13.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image" Target="../media/image14.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5" Type="http://schemas.openxmlformats.org/officeDocument/2006/relationships/image" Target="../media/image15.emf"/><Relationship Id="rId4" Type="http://schemas.openxmlformats.org/officeDocument/2006/relationships/control" Target="../activeX/activeX16.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omments" Target="../comments2.xml"/><Relationship Id="rId4" Type="http://schemas.openxmlformats.org/officeDocument/2006/relationships/image" Target="../media/image1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8.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2:B15"/>
  <sheetViews>
    <sheetView workbookViewId="0">
      <selection activeCell="B11" sqref="B11"/>
    </sheetView>
  </sheetViews>
  <sheetFormatPr defaultRowHeight="15" x14ac:dyDescent="0.25"/>
  <cols>
    <col min="2" max="2" width="169.5703125" customWidth="1"/>
  </cols>
  <sheetData>
    <row r="2" spans="1:2" ht="43.15" x14ac:dyDescent="0.3">
      <c r="A2" s="69">
        <v>1</v>
      </c>
      <c r="B2" s="1" t="s">
        <v>487</v>
      </c>
    </row>
    <row r="3" spans="1:2" ht="18.600000000000001" customHeight="1" thickBot="1" x14ac:dyDescent="0.3">
      <c r="A3" s="115">
        <v>2</v>
      </c>
      <c r="B3" t="s">
        <v>488</v>
      </c>
    </row>
    <row r="4" spans="1:2" ht="18" customHeight="1" x14ac:dyDescent="0.25">
      <c r="A4" s="115"/>
      <c r="B4" s="19" t="s">
        <v>210</v>
      </c>
    </row>
    <row r="5" spans="1:2" ht="18" customHeight="1" x14ac:dyDescent="0.25">
      <c r="A5" s="115"/>
      <c r="B5" s="20" t="s">
        <v>211</v>
      </c>
    </row>
    <row r="6" spans="1:2" ht="18" customHeight="1" x14ac:dyDescent="0.25">
      <c r="A6" s="115"/>
      <c r="B6" s="22" t="s">
        <v>212</v>
      </c>
    </row>
    <row r="7" spans="1:2" ht="18.600000000000001" customHeight="1" thickBot="1" x14ac:dyDescent="0.3">
      <c r="A7" s="115"/>
      <c r="B7" s="23" t="s">
        <v>213</v>
      </c>
    </row>
    <row r="8" spans="1:2" ht="18" x14ac:dyDescent="0.3">
      <c r="A8" s="69">
        <v>3</v>
      </c>
      <c r="B8" t="s">
        <v>489</v>
      </c>
    </row>
    <row r="9" spans="1:2" ht="18" x14ac:dyDescent="0.3">
      <c r="A9" s="69">
        <v>4</v>
      </c>
      <c r="B9" t="s">
        <v>490</v>
      </c>
    </row>
    <row r="10" spans="1:2" ht="18" x14ac:dyDescent="0.3">
      <c r="A10" s="69">
        <v>5</v>
      </c>
      <c r="B10" t="s">
        <v>491</v>
      </c>
    </row>
    <row r="11" spans="1:2" ht="28.9" x14ac:dyDescent="0.3">
      <c r="A11" s="69">
        <v>6</v>
      </c>
      <c r="B11" s="1" t="s">
        <v>492</v>
      </c>
    </row>
    <row r="12" spans="1:2" ht="18" x14ac:dyDescent="0.3">
      <c r="A12" s="69"/>
      <c r="B12" s="1"/>
    </row>
    <row r="13" spans="1:2" ht="18.75" x14ac:dyDescent="0.25">
      <c r="A13" s="69"/>
      <c r="B13" s="1"/>
    </row>
    <row r="15" spans="1:2" ht="23.25" x14ac:dyDescent="0.25">
      <c r="B15" s="70" t="s">
        <v>208</v>
      </c>
    </row>
  </sheetData>
  <mergeCells count="1">
    <mergeCell ref="A3:A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24"/>
  <sheetViews>
    <sheetView topLeftCell="A7" workbookViewId="0">
      <selection activeCell="B31" sqref="B31"/>
    </sheetView>
  </sheetViews>
  <sheetFormatPr defaultRowHeight="15" x14ac:dyDescent="0.25"/>
  <cols>
    <col min="2" max="2" width="108.7109375" customWidth="1"/>
  </cols>
  <sheetData>
    <row r="2" spans="2:2" ht="86.45" x14ac:dyDescent="0.3">
      <c r="B2" s="1" t="s">
        <v>106</v>
      </c>
    </row>
    <row r="4" spans="2:2" ht="100.9" x14ac:dyDescent="0.3">
      <c r="B4" s="1" t="s">
        <v>107</v>
      </c>
    </row>
    <row r="6" spans="2:2" ht="14.45" x14ac:dyDescent="0.3">
      <c r="B6" t="s">
        <v>218</v>
      </c>
    </row>
    <row r="8" spans="2:2" ht="14.45" x14ac:dyDescent="0.3">
      <c r="B8" t="s">
        <v>214</v>
      </c>
    </row>
    <row r="9" spans="2:2" ht="14.45" x14ac:dyDescent="0.3">
      <c r="B9" t="s">
        <v>215</v>
      </c>
    </row>
    <row r="10" spans="2:2" ht="14.45" x14ac:dyDescent="0.3">
      <c r="B10" t="s">
        <v>217</v>
      </c>
    </row>
    <row r="12" spans="2:2" ht="14.45" x14ac:dyDescent="0.3">
      <c r="B12" t="s">
        <v>312</v>
      </c>
    </row>
    <row r="13" spans="2:2" ht="14.45" x14ac:dyDescent="0.3">
      <c r="B13" t="s">
        <v>206</v>
      </c>
    </row>
    <row r="14" spans="2:2" ht="14.45" x14ac:dyDescent="0.3">
      <c r="B14" t="s">
        <v>207</v>
      </c>
    </row>
    <row r="15" spans="2:2" ht="14.45" x14ac:dyDescent="0.3">
      <c r="B15" t="s">
        <v>209</v>
      </c>
    </row>
    <row r="16" spans="2:2" ht="14.45" x14ac:dyDescent="0.3">
      <c r="B16" t="s">
        <v>216</v>
      </c>
    </row>
    <row r="17" spans="2:3" ht="14.45" x14ac:dyDescent="0.3">
      <c r="B17" t="s">
        <v>313</v>
      </c>
    </row>
    <row r="18" spans="2:3" thickBot="1" x14ac:dyDescent="0.35"/>
    <row r="19" spans="2:3" ht="14.45" x14ac:dyDescent="0.3">
      <c r="B19" s="19" t="s">
        <v>210</v>
      </c>
      <c r="C19" s="18"/>
    </row>
    <row r="20" spans="2:3" ht="14.45" x14ac:dyDescent="0.3">
      <c r="B20" s="20" t="s">
        <v>211</v>
      </c>
      <c r="C20" s="18"/>
    </row>
    <row r="21" spans="2:3" ht="14.45" x14ac:dyDescent="0.3">
      <c r="B21" s="22" t="s">
        <v>212</v>
      </c>
      <c r="C21" s="18"/>
    </row>
    <row r="22" spans="2:3" thickBot="1" x14ac:dyDescent="0.35">
      <c r="B22" s="23" t="s">
        <v>213</v>
      </c>
    </row>
    <row r="24" spans="2:3" ht="23.25" x14ac:dyDescent="0.35">
      <c r="B24" s="42" t="s">
        <v>208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am">
    <tabColor rgb="FFFF0000"/>
  </sheetPr>
  <dimension ref="B1:D23"/>
  <sheetViews>
    <sheetView topLeftCell="A2" workbookViewId="0">
      <selection activeCell="C23" sqref="C23:D23"/>
    </sheetView>
  </sheetViews>
  <sheetFormatPr defaultRowHeight="15" x14ac:dyDescent="0.25"/>
  <cols>
    <col min="2" max="2" width="69.28515625" bestFit="1" customWidth="1"/>
    <col min="3" max="3" width="24.85546875" style="3" customWidth="1"/>
    <col min="4" max="4" width="44.7109375" style="6" customWidth="1"/>
  </cols>
  <sheetData>
    <row r="1" spans="2:4" x14ac:dyDescent="0.3">
      <c r="D1" s="2" t="s">
        <v>116</v>
      </c>
    </row>
    <row r="2" spans="2:4" x14ac:dyDescent="0.3">
      <c r="B2" s="7" t="s">
        <v>44</v>
      </c>
      <c r="C2" s="17"/>
      <c r="D2" s="21"/>
    </row>
    <row r="3" spans="2:4" x14ac:dyDescent="0.3">
      <c r="B3" s="7" t="s">
        <v>45</v>
      </c>
      <c r="C3" s="17">
        <v>15</v>
      </c>
      <c r="D3" s="21"/>
    </row>
    <row r="4" spans="2:4" x14ac:dyDescent="0.3">
      <c r="B4" s="7" t="s">
        <v>114</v>
      </c>
      <c r="C4" s="17"/>
      <c r="D4" s="21"/>
    </row>
    <row r="5" spans="2:4" x14ac:dyDescent="0.3">
      <c r="B5" s="7" t="s">
        <v>115</v>
      </c>
      <c r="C5" s="17"/>
      <c r="D5" s="21"/>
    </row>
    <row r="6" spans="2:4" x14ac:dyDescent="0.3">
      <c r="B6" s="7" t="s">
        <v>117</v>
      </c>
      <c r="C6" s="10">
        <v>5</v>
      </c>
      <c r="D6" s="21"/>
    </row>
    <row r="7" spans="2:4" x14ac:dyDescent="0.3">
      <c r="B7" s="7" t="s">
        <v>309</v>
      </c>
      <c r="C7" s="9" t="s">
        <v>2</v>
      </c>
      <c r="D7" s="21"/>
    </row>
    <row r="8" spans="2:4" x14ac:dyDescent="0.3">
      <c r="B8" s="7" t="s">
        <v>308</v>
      </c>
      <c r="C8" s="10"/>
      <c r="D8" s="21"/>
    </row>
    <row r="9" spans="2:4" x14ac:dyDescent="0.3">
      <c r="B9" s="7" t="s">
        <v>310</v>
      </c>
      <c r="C9" s="9" t="s">
        <v>2</v>
      </c>
      <c r="D9" s="21"/>
    </row>
    <row r="10" spans="2:4" x14ac:dyDescent="0.3">
      <c r="B10" s="7" t="s">
        <v>46</v>
      </c>
      <c r="C10" s="10">
        <v>10</v>
      </c>
      <c r="D10" s="21"/>
    </row>
    <row r="11" spans="2:4" x14ac:dyDescent="0.3">
      <c r="B11" s="7" t="s">
        <v>47</v>
      </c>
      <c r="C11" s="9" t="s">
        <v>1</v>
      </c>
      <c r="D11" s="21"/>
    </row>
    <row r="12" spans="2:4" x14ac:dyDescent="0.3">
      <c r="B12" s="7" t="s">
        <v>48</v>
      </c>
      <c r="C12" s="9" t="s">
        <v>1</v>
      </c>
      <c r="D12" s="21"/>
    </row>
    <row r="13" spans="2:4" x14ac:dyDescent="0.3">
      <c r="B13" s="7" t="s">
        <v>49</v>
      </c>
      <c r="C13" s="9" t="s">
        <v>2</v>
      </c>
      <c r="D13" s="21"/>
    </row>
    <row r="14" spans="2:4" x14ac:dyDescent="0.3">
      <c r="B14" s="7" t="s">
        <v>50</v>
      </c>
      <c r="C14" s="9" t="s">
        <v>1</v>
      </c>
      <c r="D14" s="21"/>
    </row>
    <row r="15" spans="2:4" x14ac:dyDescent="0.3">
      <c r="B15" s="7" t="s">
        <v>51</v>
      </c>
      <c r="C15" s="9" t="s">
        <v>1</v>
      </c>
      <c r="D15" s="21"/>
    </row>
    <row r="16" spans="2:4" x14ac:dyDescent="0.3">
      <c r="B16" s="7" t="s">
        <v>52</v>
      </c>
      <c r="C16" s="9" t="s">
        <v>1</v>
      </c>
      <c r="D16" s="21"/>
    </row>
    <row r="17" spans="2:4" x14ac:dyDescent="0.3">
      <c r="B17" s="7" t="s">
        <v>53</v>
      </c>
      <c r="C17" s="9" t="s">
        <v>1</v>
      </c>
      <c r="D17" s="21"/>
    </row>
    <row r="18" spans="2:4" x14ac:dyDescent="0.25">
      <c r="B18" s="7" t="s">
        <v>54</v>
      </c>
      <c r="C18" s="9" t="s">
        <v>1</v>
      </c>
      <c r="D18" s="21"/>
    </row>
    <row r="19" spans="2:4" x14ac:dyDescent="0.25">
      <c r="B19" s="7" t="s">
        <v>55</v>
      </c>
      <c r="C19" s="10"/>
      <c r="D19" s="21"/>
    </row>
    <row r="20" spans="2:4" x14ac:dyDescent="0.25">
      <c r="B20" s="7" t="s">
        <v>56</v>
      </c>
      <c r="C20" s="10"/>
      <c r="D20" s="21"/>
    </row>
    <row r="21" spans="2:4" x14ac:dyDescent="0.25">
      <c r="B21" s="7" t="s">
        <v>57</v>
      </c>
      <c r="C21" s="10"/>
      <c r="D21" s="21"/>
    </row>
    <row r="23" spans="2:4" ht="150" customHeight="1" x14ac:dyDescent="0.25">
      <c r="B23" t="s">
        <v>535</v>
      </c>
      <c r="C23" s="116" t="s">
        <v>536</v>
      </c>
      <c r="D23" s="116"/>
    </row>
  </sheetData>
  <mergeCells count="1">
    <mergeCell ref="C23:D23"/>
  </mergeCells>
  <conditionalFormatting sqref="C3">
    <cfRule type="cellIs" dxfId="62" priority="1" operator="notBetween">
      <formula>1</formula>
      <formula>15</formula>
    </cfRule>
  </conditionalFormatting>
  <dataValidations count="11">
    <dataValidation type="date" allowBlank="1" showInputMessage="1" showErrorMessage="1" errorTitle="Assessment Start Date" error="Please enter Assessment Start Date" promptTitle="Date" prompt="Assessment Start Date" sqref="C4">
      <formula1>36526</formula1>
      <formula2>401769</formula2>
    </dataValidation>
    <dataValidation type="date" allowBlank="1" showInputMessage="1" showErrorMessage="1" errorTitle="Assessment Completion Date" error="Please enmder assessment completion date" promptTitle="Date" prompt="Assessment Completion Date" sqref="C5">
      <formula1>36526</formula1>
      <formula2>401769</formula2>
    </dataValidation>
    <dataValidation type="whole" allowBlank="1" showInputMessage="1" showErrorMessage="1" errorTitle="How many?" error="Please input average team memebers participated in this assessment." sqref="C6">
      <formula1>1</formula1>
      <formula2>15</formula2>
    </dataValidation>
    <dataValidation type="whole" allowBlank="1" showInputMessage="1" showErrorMessage="1" errorTitle="How  many?" error="Please enter the number of team members." sqref="C3">
      <formula1>1</formula1>
      <formula2>15</formula2>
    </dataValidation>
    <dataValidation type="whole" allowBlank="1" showInputMessage="1" showErrorMessage="1" errorTitle="How many?" error="Please input number of locations." sqref="C8">
      <formula1>1</formula1>
      <formula2>10</formula2>
    </dataValidation>
    <dataValidation type="whole" allowBlank="1" showInputMessage="1" showErrorMessage="1" errorTitle="How many?" error="Please input number of Product Owners, team has." promptTitle="Number of Product Owners" sqref="C10">
      <formula1>0</formula1>
      <formula2>10</formula2>
    </dataValidation>
    <dataValidation type="date" operator="greaterThan" allowBlank="1" showInputMessage="1" showErrorMessage="1" errorTitle="Date please!" error="When does the newest memeber of team joined the team?" promptTitle="Date please!" prompt="Date please!" sqref="C19">
      <formula1>36526</formula1>
    </dataValidation>
    <dataValidation type="date" operator="greaterThan" allowBlank="1" showInputMessage="1" showErrorMessage="1" errorTitle="Date please" error="Please input approx. date of longest surviving team memeber :-)" promptTitle="Date please!" prompt="Dtae please!" sqref="C20">
      <formula1>36526</formula1>
    </dataValidation>
    <dataValidation type="whole" operator="greaterThanOrEqual" allowBlank="1" showInputMessage="1" showErrorMessage="1" sqref="C21">
      <formula1>0</formula1>
    </dataValidation>
    <dataValidation type="list" allowBlank="1" showErrorMessage="1" errorTitle="Select One" error="Please select from selection list" sqref="C7">
      <formula1>#REF!</formula1>
    </dataValidation>
    <dataValidation type="list" allowBlank="1" showInputMessage="1" showErrorMessage="1" sqref="C9 C12 C13 C14 C15 C16 C17 C18 C11">
      <formula1>#REF!</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New"/>
  <dimension ref="A1:AZ110"/>
  <sheetViews>
    <sheetView zoomScale="110" zoomScaleNormal="110" workbookViewId="0">
      <selection activeCell="E10" sqref="E10"/>
    </sheetView>
  </sheetViews>
  <sheetFormatPr defaultRowHeight="15" x14ac:dyDescent="0.25"/>
  <cols>
    <col min="1" max="1" width="24.42578125" customWidth="1"/>
    <col min="2" max="2" width="33.28515625" style="5" customWidth="1"/>
    <col min="3" max="3" width="3.85546875" style="5" customWidth="1"/>
    <col min="4" max="4" width="2.7109375" style="5" customWidth="1"/>
    <col min="5" max="5" width="21.5703125" style="5" customWidth="1"/>
    <col min="6" max="6" width="3.42578125" style="5" customWidth="1"/>
    <col min="7" max="7" width="2.7109375" style="5" customWidth="1"/>
    <col min="8" max="8" width="32.42578125" style="5" customWidth="1"/>
    <col min="9" max="9" width="2.85546875" style="5" customWidth="1"/>
    <col min="10" max="10" width="3.140625" style="5" customWidth="1"/>
    <col min="11" max="11" width="32.28515625" style="5" customWidth="1"/>
    <col min="12" max="12" width="2.7109375" style="5" customWidth="1"/>
    <col min="13" max="13" width="3" style="5" customWidth="1"/>
    <col min="14" max="14" width="32.140625" style="5" customWidth="1"/>
    <col min="15" max="16" width="2.28515625" style="5" customWidth="1"/>
    <col min="17" max="17" width="30.42578125" style="30" customWidth="1"/>
    <col min="18" max="19" width="2.28515625" style="30" customWidth="1"/>
    <col min="20" max="20" width="26.7109375" style="30" customWidth="1"/>
    <col min="21" max="22" width="2.5703125" style="30" customWidth="1"/>
    <col min="23" max="23" width="26.5703125" style="30" customWidth="1"/>
    <col min="24" max="25" width="2.5703125" style="30" customWidth="1"/>
    <col min="26" max="26" width="26.7109375" style="30" customWidth="1"/>
    <col min="27" max="28" width="3" style="30" customWidth="1"/>
    <col min="29" max="29" width="35.7109375" style="30" customWidth="1"/>
    <col min="30" max="31" width="3" style="30" customWidth="1"/>
    <col min="32" max="32" width="32" style="30" customWidth="1"/>
    <col min="33" max="34" width="3.42578125" style="30" customWidth="1"/>
    <col min="35" max="35" width="32" style="30" customWidth="1"/>
    <col min="36" max="37" width="3.42578125" style="30" customWidth="1"/>
    <col min="38" max="38" width="32" style="30" customWidth="1"/>
    <col min="39" max="39" width="3.42578125" style="30" customWidth="1"/>
    <col min="40" max="40" width="3.42578125" style="5" customWidth="1"/>
    <col min="41" max="41" width="32" customWidth="1"/>
    <col min="42" max="43" width="3.42578125" customWidth="1"/>
    <col min="44" max="44" width="32" customWidth="1"/>
    <col min="45" max="46" width="3.7109375" customWidth="1"/>
    <col min="47" max="47" width="32" customWidth="1"/>
    <col min="48" max="49" width="3.42578125" customWidth="1"/>
    <col min="50" max="50" width="32" customWidth="1"/>
    <col min="51" max="52" width="3.42578125" customWidth="1"/>
  </cols>
  <sheetData>
    <row r="1" spans="1:34" ht="14.45" x14ac:dyDescent="0.3">
      <c r="A1" s="1" t="s">
        <v>39</v>
      </c>
      <c r="B1" s="30"/>
      <c r="C1" s="30"/>
      <c r="D1" s="30"/>
    </row>
    <row r="2" spans="1:34" ht="15" customHeight="1" x14ac:dyDescent="0.25">
      <c r="A2" s="1"/>
      <c r="B2" s="30" t="s">
        <v>1</v>
      </c>
      <c r="C2" s="30"/>
      <c r="D2" s="30"/>
      <c r="E2" s="5" t="s">
        <v>654</v>
      </c>
    </row>
    <row r="3" spans="1:34" x14ac:dyDescent="0.25">
      <c r="A3" s="1"/>
      <c r="B3" s="30" t="s">
        <v>2</v>
      </c>
      <c r="C3" s="30"/>
      <c r="D3" s="30"/>
      <c r="E3" s="5" t="s">
        <v>655</v>
      </c>
    </row>
    <row r="4" spans="1:34" ht="14.45" x14ac:dyDescent="0.3">
      <c r="A4" s="1"/>
      <c r="B4" s="30"/>
      <c r="C4" s="30"/>
      <c r="D4" s="30"/>
      <c r="E4" s="5" t="s">
        <v>656</v>
      </c>
    </row>
    <row r="5" spans="1:34" ht="14.45" x14ac:dyDescent="0.3">
      <c r="A5" s="1"/>
      <c r="B5" s="30"/>
      <c r="C5" s="30"/>
      <c r="D5" s="30"/>
      <c r="E5" s="5" t="s">
        <v>657</v>
      </c>
    </row>
    <row r="6" spans="1:34" ht="14.45" x14ac:dyDescent="0.3">
      <c r="A6" s="1" t="s">
        <v>65</v>
      </c>
      <c r="B6" s="30"/>
      <c r="C6" s="30"/>
      <c r="D6" s="30"/>
    </row>
    <row r="7" spans="1:34" ht="14.45" x14ac:dyDescent="0.3">
      <c r="B7" s="5" t="s">
        <v>1</v>
      </c>
      <c r="C7" s="5">
        <v>5</v>
      </c>
    </row>
    <row r="8" spans="1:34" ht="14.45" x14ac:dyDescent="0.3">
      <c r="B8" s="5" t="s">
        <v>2</v>
      </c>
      <c r="C8" s="5">
        <v>0</v>
      </c>
    </row>
    <row r="10" spans="1:34" ht="14.45" x14ac:dyDescent="0.3">
      <c r="A10" t="s">
        <v>221</v>
      </c>
    </row>
    <row r="11" spans="1:34" ht="14.45" x14ac:dyDescent="0.3">
      <c r="B11" s="5" t="s">
        <v>1</v>
      </c>
      <c r="C11" s="5">
        <v>5</v>
      </c>
      <c r="E11" s="5" t="s">
        <v>1</v>
      </c>
      <c r="F11" s="5">
        <v>5</v>
      </c>
      <c r="H11" s="30" t="s">
        <v>118</v>
      </c>
      <c r="I11" s="30">
        <v>5</v>
      </c>
      <c r="J11" s="30"/>
      <c r="K11" s="30" t="s">
        <v>68</v>
      </c>
      <c r="L11" s="30">
        <v>0</v>
      </c>
      <c r="M11" s="30"/>
      <c r="N11" s="30" t="s">
        <v>73</v>
      </c>
      <c r="O11" s="30">
        <v>4</v>
      </c>
      <c r="P11" s="30"/>
      <c r="Q11" s="30" t="s">
        <v>73</v>
      </c>
      <c r="R11" s="30">
        <v>4</v>
      </c>
      <c r="T11" s="32" t="s">
        <v>75</v>
      </c>
      <c r="U11" s="32">
        <v>4</v>
      </c>
      <c r="V11" s="32"/>
      <c r="W11" s="29" t="s">
        <v>123</v>
      </c>
      <c r="X11" s="29">
        <v>5</v>
      </c>
      <c r="Y11" s="29"/>
      <c r="Z11" s="1" t="s">
        <v>77</v>
      </c>
      <c r="AA11" s="1">
        <v>0</v>
      </c>
      <c r="AB11" s="1"/>
      <c r="AC11" s="30" t="s">
        <v>315</v>
      </c>
      <c r="AD11" s="30">
        <v>0</v>
      </c>
      <c r="AG11" s="30">
        <v>0</v>
      </c>
    </row>
    <row r="12" spans="1:34" ht="28.9" x14ac:dyDescent="0.3">
      <c r="B12" s="5" t="s">
        <v>2</v>
      </c>
      <c r="C12" s="5">
        <v>0</v>
      </c>
      <c r="E12" s="5" t="s">
        <v>2</v>
      </c>
      <c r="F12" s="5">
        <v>0</v>
      </c>
      <c r="H12" s="30" t="s">
        <v>119</v>
      </c>
      <c r="I12" s="30">
        <v>3</v>
      </c>
      <c r="J12" s="30"/>
      <c r="K12" s="30" t="s">
        <v>69</v>
      </c>
      <c r="L12" s="30">
        <v>0</v>
      </c>
      <c r="M12" s="30"/>
      <c r="N12" s="30" t="s">
        <v>74</v>
      </c>
      <c r="O12" s="30">
        <v>3</v>
      </c>
      <c r="P12" s="30"/>
      <c r="Q12" s="30" t="s">
        <v>74</v>
      </c>
      <c r="R12" s="30">
        <v>3</v>
      </c>
      <c r="T12" s="32" t="s">
        <v>76</v>
      </c>
      <c r="U12" s="32">
        <v>1</v>
      </c>
      <c r="V12" s="32"/>
      <c r="W12" s="29" t="s">
        <v>124</v>
      </c>
      <c r="X12" s="29">
        <v>4</v>
      </c>
      <c r="Y12" s="29"/>
      <c r="Z12" s="1" t="s">
        <v>79</v>
      </c>
      <c r="AA12" s="1">
        <v>3</v>
      </c>
      <c r="AB12" s="1"/>
      <c r="AC12" s="30" t="s">
        <v>316</v>
      </c>
      <c r="AD12" s="30">
        <v>0</v>
      </c>
      <c r="AG12" s="30">
        <v>0</v>
      </c>
    </row>
    <row r="13" spans="1:34" ht="28.9" x14ac:dyDescent="0.3">
      <c r="E13" s="5" t="s">
        <v>90</v>
      </c>
      <c r="F13" s="5">
        <v>0</v>
      </c>
      <c r="G13" s="5">
        <v>0</v>
      </c>
      <c r="H13" s="30" t="s">
        <v>120</v>
      </c>
      <c r="I13" s="30">
        <v>0</v>
      </c>
      <c r="J13" s="30"/>
      <c r="K13" s="30" t="s">
        <v>70</v>
      </c>
      <c r="L13" s="30">
        <v>0</v>
      </c>
      <c r="M13" s="30"/>
      <c r="N13" s="30" t="s">
        <v>23</v>
      </c>
      <c r="O13" s="30">
        <v>2</v>
      </c>
      <c r="P13" s="30"/>
      <c r="Q13" s="30" t="s">
        <v>22</v>
      </c>
      <c r="R13" s="30">
        <v>0</v>
      </c>
      <c r="T13" s="32" t="s">
        <v>461</v>
      </c>
      <c r="U13" s="32">
        <v>2</v>
      </c>
      <c r="V13" s="32"/>
      <c r="W13" s="29" t="s">
        <v>125</v>
      </c>
      <c r="X13" s="29">
        <v>2</v>
      </c>
      <c r="Y13" s="29"/>
      <c r="Z13" s="1" t="s">
        <v>78</v>
      </c>
      <c r="AA13" s="1">
        <v>5</v>
      </c>
      <c r="AB13" s="1"/>
      <c r="AC13" s="30" t="s">
        <v>390</v>
      </c>
      <c r="AD13" s="30">
        <v>0</v>
      </c>
      <c r="AG13" s="30">
        <v>0</v>
      </c>
    </row>
    <row r="14" spans="1:34" ht="28.9" x14ac:dyDescent="0.3">
      <c r="K14" s="30" t="s">
        <v>71</v>
      </c>
      <c r="L14" s="30">
        <v>5</v>
      </c>
      <c r="M14" s="30"/>
      <c r="N14" s="30" t="s">
        <v>121</v>
      </c>
      <c r="O14" s="30">
        <v>0</v>
      </c>
      <c r="P14" s="30"/>
      <c r="Q14" s="30" t="s">
        <v>94</v>
      </c>
      <c r="R14" s="30">
        <v>0</v>
      </c>
      <c r="T14" s="30" t="s">
        <v>72</v>
      </c>
      <c r="U14" s="30">
        <v>5</v>
      </c>
      <c r="W14" s="29" t="s">
        <v>126</v>
      </c>
      <c r="X14" s="29">
        <v>0</v>
      </c>
      <c r="Y14" s="29"/>
      <c r="AC14" s="29" t="s">
        <v>72</v>
      </c>
      <c r="AD14" s="29">
        <v>5</v>
      </c>
      <c r="AE14" s="29"/>
      <c r="AG14" s="29">
        <v>5</v>
      </c>
      <c r="AH14" s="29"/>
    </row>
    <row r="15" spans="1:34" ht="30" x14ac:dyDescent="0.25">
      <c r="N15" s="30" t="s">
        <v>122</v>
      </c>
      <c r="O15" s="30">
        <v>0</v>
      </c>
      <c r="P15" s="30"/>
      <c r="Q15" s="30" t="s">
        <v>72</v>
      </c>
      <c r="R15" s="30">
        <v>5</v>
      </c>
      <c r="W15" s="30" t="s">
        <v>390</v>
      </c>
      <c r="X15" s="30">
        <v>0</v>
      </c>
      <c r="AC15" s="30" t="s">
        <v>41</v>
      </c>
      <c r="AD15" s="30">
        <v>0</v>
      </c>
      <c r="AE15" s="30">
        <v>0</v>
      </c>
      <c r="AG15" s="30">
        <v>0</v>
      </c>
      <c r="AH15" s="30">
        <v>0</v>
      </c>
    </row>
    <row r="16" spans="1:34" ht="30" x14ac:dyDescent="0.25">
      <c r="N16" s="30" t="s">
        <v>72</v>
      </c>
      <c r="O16" s="30">
        <v>5</v>
      </c>
      <c r="P16" s="30"/>
      <c r="W16" s="29"/>
      <c r="X16" s="29"/>
      <c r="Y16" s="29"/>
    </row>
    <row r="17" spans="1:51" x14ac:dyDescent="0.25">
      <c r="W17" s="29"/>
      <c r="X17" s="29"/>
      <c r="Y17" s="29"/>
    </row>
    <row r="19" spans="1:51" x14ac:dyDescent="0.25">
      <c r="A19" t="s">
        <v>127</v>
      </c>
    </row>
    <row r="20" spans="1:51" x14ac:dyDescent="0.25">
      <c r="B20" s="5" t="s">
        <v>1</v>
      </c>
      <c r="C20" s="5">
        <v>5</v>
      </c>
      <c r="E20" s="5" t="s">
        <v>234</v>
      </c>
      <c r="F20" s="5">
        <v>1</v>
      </c>
      <c r="H20" s="1" t="s">
        <v>130</v>
      </c>
      <c r="I20" s="1">
        <v>1</v>
      </c>
      <c r="J20" s="1"/>
      <c r="K20" s="1" t="s">
        <v>133</v>
      </c>
      <c r="L20" s="1">
        <v>1</v>
      </c>
      <c r="M20" s="1"/>
    </row>
    <row r="21" spans="1:51" ht="30" x14ac:dyDescent="0.25">
      <c r="B21" s="5" t="s">
        <v>2</v>
      </c>
      <c r="C21" s="5">
        <v>0</v>
      </c>
      <c r="E21" s="5" t="s">
        <v>235</v>
      </c>
      <c r="F21" s="5">
        <v>2</v>
      </c>
      <c r="H21" s="1" t="s">
        <v>335</v>
      </c>
      <c r="I21" s="1">
        <v>1</v>
      </c>
      <c r="J21" s="1"/>
      <c r="K21" s="1" t="s">
        <v>134</v>
      </c>
      <c r="L21" s="1">
        <v>1</v>
      </c>
      <c r="M21" s="1"/>
    </row>
    <row r="22" spans="1:51" ht="45" x14ac:dyDescent="0.25">
      <c r="B22" s="5" t="s">
        <v>128</v>
      </c>
      <c r="C22" s="5">
        <v>0</v>
      </c>
      <c r="D22" s="5">
        <v>0</v>
      </c>
      <c r="E22" s="5" t="s">
        <v>236</v>
      </c>
      <c r="F22" s="5">
        <v>3</v>
      </c>
      <c r="H22" s="1" t="s">
        <v>132</v>
      </c>
      <c r="I22" s="1">
        <v>1</v>
      </c>
      <c r="J22" s="1"/>
      <c r="K22" s="1" t="s">
        <v>135</v>
      </c>
      <c r="L22" s="1">
        <v>1</v>
      </c>
      <c r="M22" s="1"/>
    </row>
    <row r="23" spans="1:51" ht="30" x14ac:dyDescent="0.25">
      <c r="E23" s="5" t="s">
        <v>237</v>
      </c>
      <c r="F23" s="5">
        <v>4</v>
      </c>
      <c r="H23" s="1" t="s">
        <v>336</v>
      </c>
      <c r="I23" s="1">
        <v>1</v>
      </c>
      <c r="J23" s="1"/>
      <c r="K23" s="1" t="s">
        <v>467</v>
      </c>
      <c r="L23" s="1">
        <v>1</v>
      </c>
      <c r="M23" s="1"/>
    </row>
    <row r="24" spans="1:51" ht="30" x14ac:dyDescent="0.25">
      <c r="E24" s="5" t="s">
        <v>238</v>
      </c>
      <c r="F24" s="5">
        <v>5</v>
      </c>
      <c r="H24" s="1" t="s">
        <v>337</v>
      </c>
      <c r="I24" s="1">
        <v>1</v>
      </c>
      <c r="J24" s="1"/>
      <c r="K24" s="1" t="s">
        <v>462</v>
      </c>
      <c r="L24" s="1">
        <v>1</v>
      </c>
      <c r="M24" s="1"/>
    </row>
    <row r="25" spans="1:51" x14ac:dyDescent="0.25">
      <c r="E25" s="5" t="s">
        <v>128</v>
      </c>
      <c r="F25" s="5">
        <v>0</v>
      </c>
      <c r="G25" s="5">
        <v>0</v>
      </c>
      <c r="H25" s="1" t="s">
        <v>131</v>
      </c>
      <c r="I25" s="1">
        <v>0</v>
      </c>
      <c r="J25" s="1">
        <v>0</v>
      </c>
      <c r="K25" s="1" t="s">
        <v>131</v>
      </c>
      <c r="L25" s="1">
        <v>0</v>
      </c>
      <c r="M25" s="1">
        <v>0</v>
      </c>
    </row>
    <row r="26" spans="1:51" x14ac:dyDescent="0.25">
      <c r="H26" s="1" t="s">
        <v>99</v>
      </c>
      <c r="I26" s="1">
        <v>0</v>
      </c>
      <c r="J26" s="1">
        <v>0</v>
      </c>
      <c r="K26" s="1" t="s">
        <v>41</v>
      </c>
      <c r="L26" s="1">
        <v>0</v>
      </c>
      <c r="M26" s="1">
        <v>0</v>
      </c>
    </row>
    <row r="27" spans="1:51" x14ac:dyDescent="0.25">
      <c r="K27" s="1"/>
      <c r="L27" s="1"/>
      <c r="M27" s="1"/>
      <c r="N27" s="1"/>
      <c r="O27" s="1"/>
      <c r="P27" s="1"/>
    </row>
    <row r="28" spans="1:51" x14ac:dyDescent="0.25">
      <c r="K28" s="1"/>
      <c r="L28" s="1"/>
      <c r="M28" s="1"/>
      <c r="N28" s="1"/>
      <c r="O28" s="1"/>
      <c r="P28" s="1"/>
    </row>
    <row r="30" spans="1:51" x14ac:dyDescent="0.25">
      <c r="A30" t="s">
        <v>80</v>
      </c>
    </row>
    <row r="31" spans="1:51" ht="30" x14ac:dyDescent="0.25">
      <c r="B31" s="5" t="s">
        <v>1</v>
      </c>
      <c r="C31" s="5">
        <v>5</v>
      </c>
      <c r="E31" s="5" t="s">
        <v>1</v>
      </c>
      <c r="F31" s="5">
        <v>5</v>
      </c>
      <c r="H31" s="5" t="s">
        <v>1</v>
      </c>
      <c r="I31" s="5">
        <v>5</v>
      </c>
      <c r="K31" s="5" t="s">
        <v>1</v>
      </c>
      <c r="L31" s="5">
        <v>5</v>
      </c>
      <c r="N31" s="5" t="s">
        <v>247</v>
      </c>
      <c r="O31" s="5">
        <v>4</v>
      </c>
      <c r="Q31" s="30" t="s">
        <v>251</v>
      </c>
      <c r="R31" s="30">
        <v>3</v>
      </c>
      <c r="T31" s="30" t="s">
        <v>234</v>
      </c>
      <c r="U31" s="30">
        <v>1</v>
      </c>
      <c r="W31" s="30" t="s">
        <v>348</v>
      </c>
      <c r="X31" s="30">
        <v>0</v>
      </c>
      <c r="Z31" s="30" t="s">
        <v>348</v>
      </c>
      <c r="AA31" s="30">
        <v>3</v>
      </c>
      <c r="AC31" s="30" t="s">
        <v>348</v>
      </c>
      <c r="AD31" s="30">
        <v>3</v>
      </c>
      <c r="AF31" s="30" t="s">
        <v>348</v>
      </c>
      <c r="AG31" s="30">
        <v>0</v>
      </c>
      <c r="AH31" s="30">
        <v>0</v>
      </c>
      <c r="AI31" s="30" t="s">
        <v>1</v>
      </c>
      <c r="AJ31" s="30">
        <v>5</v>
      </c>
      <c r="AL31" s="30" t="s">
        <v>353</v>
      </c>
      <c r="AM31" s="30">
        <v>4</v>
      </c>
      <c r="AN31" s="30"/>
      <c r="AO31" s="1" t="s">
        <v>465</v>
      </c>
      <c r="AP31" s="1">
        <v>1</v>
      </c>
      <c r="AQ31" s="1"/>
      <c r="AR31" s="1" t="s">
        <v>85</v>
      </c>
      <c r="AS31" s="1">
        <v>2</v>
      </c>
      <c r="AT31" s="1"/>
      <c r="AU31" s="30" t="s">
        <v>136</v>
      </c>
      <c r="AV31" s="30">
        <v>1</v>
      </c>
      <c r="AW31" s="30"/>
      <c r="AX31" s="1" t="s">
        <v>133</v>
      </c>
      <c r="AY31">
        <v>1</v>
      </c>
    </row>
    <row r="32" spans="1:51" ht="30" x14ac:dyDescent="0.25">
      <c r="B32" s="5" t="s">
        <v>2</v>
      </c>
      <c r="C32" s="5">
        <v>0</v>
      </c>
      <c r="E32" s="5" t="s">
        <v>240</v>
      </c>
      <c r="F32" s="5">
        <v>3</v>
      </c>
      <c r="H32" s="5" t="s">
        <v>2</v>
      </c>
      <c r="I32" s="5">
        <v>0</v>
      </c>
      <c r="K32" s="5" t="s">
        <v>2</v>
      </c>
      <c r="L32" s="5">
        <v>0</v>
      </c>
      <c r="N32" s="5" t="s">
        <v>249</v>
      </c>
      <c r="O32" s="5">
        <v>3</v>
      </c>
      <c r="Q32" s="5" t="s">
        <v>339</v>
      </c>
      <c r="R32" s="5">
        <v>5</v>
      </c>
      <c r="S32" s="5"/>
      <c r="T32" s="30" t="s">
        <v>235</v>
      </c>
      <c r="U32" s="30">
        <v>2</v>
      </c>
      <c r="W32" s="30" t="s">
        <v>464</v>
      </c>
      <c r="X32" s="30">
        <v>1</v>
      </c>
      <c r="Z32" s="30" t="s">
        <v>464</v>
      </c>
      <c r="AA32" s="30">
        <v>4</v>
      </c>
      <c r="AC32" s="30" t="s">
        <v>464</v>
      </c>
      <c r="AD32" s="30">
        <v>4</v>
      </c>
      <c r="AF32" s="30" t="s">
        <v>464</v>
      </c>
      <c r="AG32" s="30">
        <v>0</v>
      </c>
      <c r="AH32" s="30">
        <v>0</v>
      </c>
      <c r="AI32" s="30" t="s">
        <v>2</v>
      </c>
      <c r="AJ32" s="30">
        <v>0</v>
      </c>
      <c r="AL32" s="30" t="s">
        <v>258</v>
      </c>
      <c r="AM32" s="30">
        <v>5</v>
      </c>
      <c r="AN32" s="30"/>
      <c r="AO32" s="1" t="s">
        <v>263</v>
      </c>
      <c r="AP32" s="1">
        <v>1</v>
      </c>
      <c r="AQ32" s="1"/>
      <c r="AR32" s="1" t="s">
        <v>86</v>
      </c>
      <c r="AS32" s="1">
        <v>2</v>
      </c>
      <c r="AT32" s="1"/>
      <c r="AU32" s="30" t="s">
        <v>137</v>
      </c>
      <c r="AV32" s="30">
        <v>1</v>
      </c>
      <c r="AW32" s="30"/>
      <c r="AX32" s="1" t="s">
        <v>134</v>
      </c>
      <c r="AY32">
        <v>1</v>
      </c>
    </row>
    <row r="33" spans="1:52" ht="45" x14ac:dyDescent="0.25">
      <c r="E33" s="5" t="s">
        <v>241</v>
      </c>
      <c r="F33" s="5">
        <v>0</v>
      </c>
      <c r="H33" s="5" t="s">
        <v>242</v>
      </c>
      <c r="I33" s="5">
        <v>0</v>
      </c>
      <c r="J33" s="5">
        <v>0</v>
      </c>
      <c r="K33" s="5" t="s">
        <v>245</v>
      </c>
      <c r="L33" s="5">
        <v>0</v>
      </c>
      <c r="N33" s="5" t="s">
        <v>463</v>
      </c>
      <c r="O33" s="5">
        <v>5</v>
      </c>
      <c r="Q33" s="30" t="s">
        <v>346</v>
      </c>
      <c r="R33" s="30">
        <v>5</v>
      </c>
      <c r="T33" s="30" t="s">
        <v>236</v>
      </c>
      <c r="U33" s="30">
        <v>3</v>
      </c>
      <c r="W33" s="30" t="s">
        <v>349</v>
      </c>
      <c r="X33" s="30">
        <v>2</v>
      </c>
      <c r="Z33" s="30" t="s">
        <v>349</v>
      </c>
      <c r="AA33" s="30">
        <v>5</v>
      </c>
      <c r="AC33" s="30" t="s">
        <v>349</v>
      </c>
      <c r="AD33" s="30">
        <v>5</v>
      </c>
      <c r="AF33" s="30" t="s">
        <v>349</v>
      </c>
      <c r="AG33" s="30">
        <v>0</v>
      </c>
      <c r="AH33" s="30">
        <v>0</v>
      </c>
      <c r="AL33" s="30" t="s">
        <v>260</v>
      </c>
      <c r="AM33" s="30">
        <v>5</v>
      </c>
      <c r="AN33" s="30"/>
      <c r="AO33" s="1" t="s">
        <v>91</v>
      </c>
      <c r="AP33" s="1">
        <v>1</v>
      </c>
      <c r="AQ33" s="1"/>
      <c r="AR33" s="1" t="s">
        <v>87</v>
      </c>
      <c r="AS33" s="1">
        <v>3</v>
      </c>
      <c r="AT33" s="1"/>
      <c r="AU33" s="30" t="s">
        <v>267</v>
      </c>
      <c r="AV33" s="30">
        <v>1</v>
      </c>
      <c r="AW33" s="30"/>
      <c r="AX33" s="1" t="s">
        <v>135</v>
      </c>
      <c r="AY33">
        <v>1</v>
      </c>
    </row>
    <row r="34" spans="1:52" ht="105" x14ac:dyDescent="0.25">
      <c r="N34" s="5" t="s">
        <v>261</v>
      </c>
      <c r="O34" s="5">
        <v>2</v>
      </c>
      <c r="Q34" s="30" t="s">
        <v>347</v>
      </c>
      <c r="R34" s="30">
        <v>2</v>
      </c>
      <c r="T34" s="30" t="s">
        <v>252</v>
      </c>
      <c r="U34" s="30">
        <v>4</v>
      </c>
      <c r="W34" s="30" t="s">
        <v>350</v>
      </c>
      <c r="X34" s="30">
        <v>3</v>
      </c>
      <c r="Z34" s="30" t="s">
        <v>350</v>
      </c>
      <c r="AA34" s="30">
        <v>2</v>
      </c>
      <c r="AC34" s="30" t="s">
        <v>350</v>
      </c>
      <c r="AD34" s="30">
        <v>2</v>
      </c>
      <c r="AF34" s="30" t="s">
        <v>350</v>
      </c>
      <c r="AG34" s="30">
        <v>0</v>
      </c>
      <c r="AH34" s="30">
        <v>0</v>
      </c>
      <c r="AL34" s="5" t="s">
        <v>15</v>
      </c>
      <c r="AM34" s="5">
        <v>0</v>
      </c>
      <c r="AN34" s="5">
        <v>0</v>
      </c>
      <c r="AO34" s="1" t="s">
        <v>92</v>
      </c>
      <c r="AP34" s="1">
        <v>1</v>
      </c>
      <c r="AQ34" s="1"/>
      <c r="AR34" s="1" t="s">
        <v>88</v>
      </c>
      <c r="AS34" s="1">
        <v>5</v>
      </c>
      <c r="AT34" s="1"/>
      <c r="AU34" s="30" t="s">
        <v>466</v>
      </c>
      <c r="AV34" s="30">
        <v>1</v>
      </c>
      <c r="AW34" s="30"/>
      <c r="AX34" s="1" t="s">
        <v>467</v>
      </c>
      <c r="AY34">
        <v>1</v>
      </c>
    </row>
    <row r="35" spans="1:52" ht="105" x14ac:dyDescent="0.25">
      <c r="N35" s="5" t="s">
        <v>41</v>
      </c>
      <c r="O35" s="5">
        <v>0</v>
      </c>
      <c r="P35" s="5">
        <v>0</v>
      </c>
      <c r="Q35" s="30" t="s">
        <v>338</v>
      </c>
      <c r="R35" s="30">
        <v>3</v>
      </c>
      <c r="T35" s="30" t="s">
        <v>219</v>
      </c>
      <c r="U35" s="30">
        <v>5</v>
      </c>
      <c r="W35" s="30" t="s">
        <v>351</v>
      </c>
      <c r="X35" s="30">
        <v>4</v>
      </c>
      <c r="Z35" s="30" t="s">
        <v>351</v>
      </c>
      <c r="AA35" s="30">
        <v>1</v>
      </c>
      <c r="AC35" s="30" t="s">
        <v>351</v>
      </c>
      <c r="AD35" s="30">
        <v>1</v>
      </c>
      <c r="AF35" s="30" t="s">
        <v>351</v>
      </c>
      <c r="AG35" s="30">
        <v>0</v>
      </c>
      <c r="AH35" s="30">
        <v>0</v>
      </c>
      <c r="AN35" s="30"/>
      <c r="AO35" s="1" t="s">
        <v>15</v>
      </c>
      <c r="AP35" s="1">
        <v>0</v>
      </c>
      <c r="AQ35" s="1">
        <v>0</v>
      </c>
      <c r="AR35" s="1" t="s">
        <v>89</v>
      </c>
      <c r="AS35" s="1">
        <v>5</v>
      </c>
      <c r="AT35" s="1"/>
      <c r="AU35" s="30" t="s">
        <v>268</v>
      </c>
      <c r="AV35" s="30">
        <v>1</v>
      </c>
      <c r="AW35" s="30"/>
      <c r="AX35" s="1" t="s">
        <v>462</v>
      </c>
      <c r="AY35">
        <v>1</v>
      </c>
    </row>
    <row r="36" spans="1:52" ht="30" x14ac:dyDescent="0.25">
      <c r="N36" s="5" t="s">
        <v>245</v>
      </c>
      <c r="O36" s="5">
        <v>0</v>
      </c>
      <c r="Q36" s="5" t="s">
        <v>41</v>
      </c>
      <c r="R36" s="5">
        <v>0</v>
      </c>
      <c r="S36" s="5">
        <v>0</v>
      </c>
      <c r="T36" s="5" t="s">
        <v>245</v>
      </c>
      <c r="U36" s="5">
        <v>0</v>
      </c>
      <c r="V36" s="5"/>
      <c r="W36" s="30" t="s">
        <v>352</v>
      </c>
      <c r="X36" s="30">
        <v>5</v>
      </c>
      <c r="Z36" s="30" t="s">
        <v>352</v>
      </c>
      <c r="AA36" s="30">
        <v>0</v>
      </c>
      <c r="AC36" s="30" t="s">
        <v>352</v>
      </c>
      <c r="AD36" s="30">
        <v>0</v>
      </c>
      <c r="AF36" s="30" t="s">
        <v>352</v>
      </c>
      <c r="AG36" s="30">
        <v>0</v>
      </c>
      <c r="AH36" s="30">
        <v>0</v>
      </c>
      <c r="AN36" s="30"/>
      <c r="AO36" s="1" t="s">
        <v>90</v>
      </c>
      <c r="AP36" s="1">
        <v>0</v>
      </c>
      <c r="AQ36" s="1">
        <v>0</v>
      </c>
      <c r="AR36" s="1" t="s">
        <v>15</v>
      </c>
      <c r="AS36" s="1">
        <v>0</v>
      </c>
      <c r="AT36" s="1">
        <v>0</v>
      </c>
      <c r="AU36" s="30" t="s">
        <v>269</v>
      </c>
      <c r="AV36" s="30">
        <v>0</v>
      </c>
      <c r="AW36" s="30"/>
      <c r="AX36" s="1" t="s">
        <v>41</v>
      </c>
      <c r="AY36">
        <v>0</v>
      </c>
      <c r="AZ36">
        <v>0</v>
      </c>
    </row>
    <row r="37" spans="1:52" x14ac:dyDescent="0.25">
      <c r="Q37" s="5" t="s">
        <v>245</v>
      </c>
      <c r="R37" s="5">
        <v>0</v>
      </c>
      <c r="S37" s="5"/>
      <c r="AN37" s="30"/>
      <c r="AO37" s="30"/>
      <c r="AP37" s="30"/>
      <c r="AQ37" s="30"/>
      <c r="AR37" s="1" t="s">
        <v>90</v>
      </c>
      <c r="AS37" s="1">
        <v>0</v>
      </c>
      <c r="AT37" s="1">
        <v>0</v>
      </c>
      <c r="AU37" s="30" t="s">
        <v>41</v>
      </c>
      <c r="AV37" s="30">
        <v>0</v>
      </c>
      <c r="AW37" s="30">
        <v>0</v>
      </c>
      <c r="AX37" s="1" t="s">
        <v>90</v>
      </c>
      <c r="AY37">
        <v>0</v>
      </c>
      <c r="AZ37">
        <v>0</v>
      </c>
    </row>
    <row r="38" spans="1:52" ht="30" x14ac:dyDescent="0.25">
      <c r="AN38" s="30"/>
      <c r="AO38" s="30"/>
      <c r="AP38" s="30"/>
      <c r="AQ38" s="30"/>
      <c r="AR38" s="30"/>
      <c r="AS38" s="30"/>
      <c r="AT38" s="30"/>
      <c r="AU38" s="30"/>
      <c r="AV38" s="30"/>
      <c r="AW38" s="30"/>
      <c r="AX38" s="30" t="s">
        <v>269</v>
      </c>
      <c r="AY38">
        <v>0</v>
      </c>
    </row>
    <row r="39" spans="1:52" x14ac:dyDescent="0.25">
      <c r="A39" t="s">
        <v>0</v>
      </c>
    </row>
    <row r="40" spans="1:52" ht="44.45" customHeight="1" x14ac:dyDescent="0.25">
      <c r="B40" s="5" t="s">
        <v>1</v>
      </c>
      <c r="C40" s="5">
        <v>5</v>
      </c>
      <c r="E40" s="5" t="s">
        <v>1</v>
      </c>
      <c r="F40" s="5">
        <v>5</v>
      </c>
      <c r="H40" s="1" t="s">
        <v>139</v>
      </c>
      <c r="I40" s="1">
        <v>0</v>
      </c>
      <c r="J40" s="1"/>
      <c r="K40" s="1" t="s">
        <v>273</v>
      </c>
      <c r="L40" s="1">
        <v>5</v>
      </c>
      <c r="M40" s="1"/>
      <c r="N40" s="1" t="s">
        <v>275</v>
      </c>
      <c r="O40" s="1">
        <v>5</v>
      </c>
      <c r="P40" s="1"/>
      <c r="Q40" s="1" t="s">
        <v>341</v>
      </c>
      <c r="R40" s="1">
        <v>5</v>
      </c>
      <c r="S40" s="1"/>
    </row>
    <row r="41" spans="1:52" ht="45" x14ac:dyDescent="0.25">
      <c r="B41" s="5" t="s">
        <v>2</v>
      </c>
      <c r="C41" s="5">
        <v>0</v>
      </c>
      <c r="E41" s="5" t="s">
        <v>2</v>
      </c>
      <c r="F41" s="5">
        <v>0</v>
      </c>
      <c r="H41" s="1" t="s">
        <v>340</v>
      </c>
      <c r="I41" s="1">
        <v>0</v>
      </c>
      <c r="J41" s="1"/>
      <c r="K41" s="1" t="s">
        <v>274</v>
      </c>
      <c r="L41" s="1">
        <v>2</v>
      </c>
      <c r="M41" s="1"/>
      <c r="N41" s="1" t="s">
        <v>276</v>
      </c>
      <c r="O41" s="1">
        <v>2</v>
      </c>
      <c r="P41" s="1"/>
      <c r="Q41" s="1" t="s">
        <v>6</v>
      </c>
      <c r="R41" s="1">
        <v>2</v>
      </c>
      <c r="S41" s="1"/>
    </row>
    <row r="42" spans="1:52" ht="60" x14ac:dyDescent="0.25">
      <c r="E42" s="5" t="s">
        <v>3</v>
      </c>
      <c r="F42" s="5">
        <v>2</v>
      </c>
      <c r="H42" s="1" t="s">
        <v>468</v>
      </c>
      <c r="I42" s="1">
        <v>5</v>
      </c>
      <c r="J42" s="1"/>
      <c r="K42" s="5" t="s">
        <v>278</v>
      </c>
      <c r="L42" s="5">
        <v>0</v>
      </c>
      <c r="N42" s="5" t="s">
        <v>277</v>
      </c>
      <c r="O42" s="5">
        <v>0</v>
      </c>
      <c r="Q42" s="1" t="s">
        <v>5</v>
      </c>
      <c r="R42" s="1">
        <v>0</v>
      </c>
      <c r="S42" s="1"/>
    </row>
    <row r="43" spans="1:52" x14ac:dyDescent="0.25">
      <c r="H43" s="1" t="s">
        <v>41</v>
      </c>
      <c r="I43" s="1">
        <v>0</v>
      </c>
      <c r="J43" s="1">
        <v>0</v>
      </c>
      <c r="K43" s="5" t="s">
        <v>41</v>
      </c>
      <c r="L43" s="5">
        <v>0</v>
      </c>
      <c r="M43" s="5">
        <v>0</v>
      </c>
      <c r="N43" s="5" t="s">
        <v>278</v>
      </c>
      <c r="O43" s="5">
        <v>0</v>
      </c>
      <c r="Q43" s="1" t="s">
        <v>41</v>
      </c>
      <c r="R43" s="1">
        <v>0</v>
      </c>
      <c r="S43" s="1">
        <v>0</v>
      </c>
    </row>
    <row r="44" spans="1:52" x14ac:dyDescent="0.25">
      <c r="I44" s="1"/>
      <c r="J44" s="1"/>
      <c r="N44" s="5" t="s">
        <v>41</v>
      </c>
      <c r="O44" s="5">
        <v>0</v>
      </c>
      <c r="P44" s="5">
        <v>0</v>
      </c>
    </row>
    <row r="46" spans="1:52" x14ac:dyDescent="0.25">
      <c r="A46" t="s">
        <v>7</v>
      </c>
    </row>
    <row r="47" spans="1:52" x14ac:dyDescent="0.25">
      <c r="B47" s="5" t="s">
        <v>1</v>
      </c>
      <c r="C47" s="5">
        <v>5</v>
      </c>
      <c r="E47" s="1" t="s">
        <v>8</v>
      </c>
      <c r="F47" s="1">
        <v>5</v>
      </c>
      <c r="G47" s="1"/>
    </row>
    <row r="48" spans="1:52" x14ac:dyDescent="0.25">
      <c r="B48" s="5" t="s">
        <v>2</v>
      </c>
      <c r="C48" s="5">
        <v>0</v>
      </c>
      <c r="E48" s="1" t="s">
        <v>143</v>
      </c>
      <c r="F48" s="1">
        <v>4</v>
      </c>
      <c r="G48" s="1"/>
    </row>
    <row r="49" spans="1:28" x14ac:dyDescent="0.25">
      <c r="E49" s="1" t="s">
        <v>9</v>
      </c>
      <c r="F49" s="1">
        <v>3</v>
      </c>
      <c r="G49" s="1"/>
    </row>
    <row r="50" spans="1:28" x14ac:dyDescent="0.25">
      <c r="E50" s="1" t="s">
        <v>10</v>
      </c>
      <c r="F50" s="1">
        <v>2</v>
      </c>
      <c r="G50" s="1"/>
    </row>
    <row r="51" spans="1:28" x14ac:dyDescent="0.25">
      <c r="E51" s="1" t="s">
        <v>17</v>
      </c>
      <c r="F51" s="1">
        <v>1</v>
      </c>
      <c r="G51" s="1"/>
    </row>
    <row r="52" spans="1:28" x14ac:dyDescent="0.25">
      <c r="E52" s="1" t="s">
        <v>11</v>
      </c>
      <c r="F52" s="1">
        <v>0</v>
      </c>
      <c r="G52" s="1"/>
    </row>
    <row r="54" spans="1:28" x14ac:dyDescent="0.25">
      <c r="A54" t="s">
        <v>12</v>
      </c>
    </row>
    <row r="55" spans="1:28" ht="30" x14ac:dyDescent="0.25">
      <c r="B55" s="5" t="s">
        <v>1</v>
      </c>
      <c r="C55" s="5">
        <v>5</v>
      </c>
      <c r="E55" s="30" t="s">
        <v>234</v>
      </c>
      <c r="F55" s="30">
        <v>1</v>
      </c>
      <c r="G55" s="30"/>
      <c r="H55" s="1" t="s">
        <v>284</v>
      </c>
      <c r="I55" s="1">
        <v>5</v>
      </c>
      <c r="J55" s="1"/>
      <c r="K55" s="1" t="s">
        <v>154</v>
      </c>
      <c r="L55" s="1">
        <v>5</v>
      </c>
      <c r="M55" s="1"/>
      <c r="N55" s="1" t="s">
        <v>481</v>
      </c>
      <c r="O55" s="1">
        <v>5</v>
      </c>
      <c r="P55" s="1"/>
      <c r="Q55" s="30" t="s">
        <v>1</v>
      </c>
      <c r="R55" s="30">
        <v>5</v>
      </c>
      <c r="T55" s="30" t="s">
        <v>1</v>
      </c>
      <c r="U55" s="30">
        <v>5</v>
      </c>
      <c r="W55" s="30" t="s">
        <v>95</v>
      </c>
      <c r="X55" s="30">
        <v>5</v>
      </c>
      <c r="Z55" s="1" t="s">
        <v>174</v>
      </c>
      <c r="AA55" s="1">
        <v>5</v>
      </c>
      <c r="AB55" s="1"/>
    </row>
    <row r="56" spans="1:28" ht="30" x14ac:dyDescent="0.25">
      <c r="B56" s="5" t="s">
        <v>2</v>
      </c>
      <c r="C56" s="5">
        <v>0</v>
      </c>
      <c r="E56" s="30" t="s">
        <v>235</v>
      </c>
      <c r="F56" s="30">
        <v>2</v>
      </c>
      <c r="G56" s="30"/>
      <c r="H56" s="1" t="s">
        <v>150</v>
      </c>
      <c r="I56" s="1">
        <v>2</v>
      </c>
      <c r="J56" s="1"/>
      <c r="K56" s="1" t="s">
        <v>155</v>
      </c>
      <c r="L56" s="1">
        <v>4</v>
      </c>
      <c r="M56" s="1"/>
      <c r="N56" s="1" t="s">
        <v>482</v>
      </c>
      <c r="O56" s="1">
        <v>3</v>
      </c>
      <c r="P56" s="1"/>
      <c r="Q56" s="30" t="s">
        <v>2</v>
      </c>
      <c r="R56" s="30">
        <v>0</v>
      </c>
      <c r="T56" s="30" t="s">
        <v>2</v>
      </c>
      <c r="U56" s="30">
        <v>0</v>
      </c>
      <c r="W56" s="1" t="s">
        <v>16</v>
      </c>
      <c r="X56" s="1">
        <v>4</v>
      </c>
      <c r="Y56" s="1"/>
      <c r="Z56" s="1" t="s">
        <v>175</v>
      </c>
      <c r="AA56" s="1">
        <v>4</v>
      </c>
      <c r="AB56" s="1"/>
    </row>
    <row r="57" spans="1:28" ht="60" x14ac:dyDescent="0.25">
      <c r="E57" s="30" t="s">
        <v>236</v>
      </c>
      <c r="F57" s="30">
        <v>3</v>
      </c>
      <c r="G57" s="30"/>
      <c r="H57" s="1" t="s">
        <v>151</v>
      </c>
      <c r="I57" s="1">
        <v>3</v>
      </c>
      <c r="J57" s="1"/>
      <c r="K57" s="1" t="s">
        <v>391</v>
      </c>
      <c r="L57" s="1">
        <v>4</v>
      </c>
      <c r="M57" s="1"/>
      <c r="N57" s="1" t="s">
        <v>480</v>
      </c>
      <c r="O57" s="1">
        <v>0</v>
      </c>
      <c r="P57" s="1"/>
      <c r="Q57" s="30" t="s">
        <v>469</v>
      </c>
      <c r="R57" s="30">
        <v>2</v>
      </c>
      <c r="T57" s="30" t="s">
        <v>13</v>
      </c>
      <c r="U57" s="30">
        <v>2</v>
      </c>
      <c r="W57" s="1" t="s">
        <v>17</v>
      </c>
      <c r="X57" s="1">
        <v>3</v>
      </c>
      <c r="Y57" s="1"/>
      <c r="Z57" s="1" t="s">
        <v>171</v>
      </c>
      <c r="AA57" s="1">
        <v>3</v>
      </c>
      <c r="AB57" s="1"/>
    </row>
    <row r="58" spans="1:28" ht="45" x14ac:dyDescent="0.25">
      <c r="E58" s="30" t="s">
        <v>252</v>
      </c>
      <c r="F58" s="30">
        <v>4</v>
      </c>
      <c r="G58" s="30"/>
      <c r="H58" s="1" t="s">
        <v>152</v>
      </c>
      <c r="I58" s="1">
        <v>0</v>
      </c>
      <c r="J58" s="1"/>
      <c r="K58" s="1" t="s">
        <v>156</v>
      </c>
      <c r="L58" s="1">
        <v>3</v>
      </c>
      <c r="M58" s="1"/>
      <c r="N58" s="1" t="s">
        <v>41</v>
      </c>
      <c r="O58" s="1">
        <v>0</v>
      </c>
      <c r="P58" s="1">
        <v>0</v>
      </c>
      <c r="W58" s="1" t="s">
        <v>18</v>
      </c>
      <c r="X58" s="1">
        <v>2</v>
      </c>
      <c r="Y58" s="1"/>
      <c r="Z58" s="1" t="s">
        <v>176</v>
      </c>
      <c r="AA58" s="1">
        <v>0</v>
      </c>
      <c r="AB58" s="1"/>
    </row>
    <row r="59" spans="1:28" ht="30" x14ac:dyDescent="0.25">
      <c r="E59" s="30" t="s">
        <v>219</v>
      </c>
      <c r="F59" s="30">
        <v>5</v>
      </c>
      <c r="G59" s="30"/>
      <c r="H59" s="1" t="s">
        <v>99</v>
      </c>
      <c r="I59" s="1">
        <v>0</v>
      </c>
      <c r="J59" s="1">
        <v>0</v>
      </c>
      <c r="K59" s="1" t="s">
        <v>157</v>
      </c>
      <c r="L59" s="1">
        <v>0</v>
      </c>
      <c r="M59" s="1"/>
      <c r="N59" s="1" t="s">
        <v>167</v>
      </c>
      <c r="O59" s="1">
        <v>0</v>
      </c>
      <c r="P59" s="1"/>
      <c r="W59" s="1" t="s">
        <v>484</v>
      </c>
      <c r="X59" s="1">
        <v>1</v>
      </c>
      <c r="Y59" s="1"/>
      <c r="Z59" s="1" t="s">
        <v>172</v>
      </c>
      <c r="AA59" s="1">
        <v>0</v>
      </c>
      <c r="AB59" s="1">
        <v>0</v>
      </c>
    </row>
    <row r="60" spans="1:28" x14ac:dyDescent="0.25">
      <c r="E60" s="5" t="s">
        <v>283</v>
      </c>
      <c r="F60" s="5">
        <v>0</v>
      </c>
      <c r="K60" s="1" t="s">
        <v>158</v>
      </c>
      <c r="L60" s="1">
        <v>0</v>
      </c>
      <c r="M60" s="1"/>
      <c r="W60" s="1" t="s">
        <v>19</v>
      </c>
      <c r="X60" s="1">
        <v>1</v>
      </c>
      <c r="Y60" s="1"/>
    </row>
    <row r="61" spans="1:28" x14ac:dyDescent="0.25">
      <c r="K61" s="1" t="s">
        <v>159</v>
      </c>
      <c r="L61" s="1">
        <v>0</v>
      </c>
      <c r="M61" s="1"/>
      <c r="W61" s="1" t="s">
        <v>15</v>
      </c>
      <c r="X61" s="1">
        <v>0</v>
      </c>
      <c r="Y61" s="1">
        <v>0</v>
      </c>
    </row>
    <row r="62" spans="1:28" ht="30" x14ac:dyDescent="0.25">
      <c r="K62" s="1" t="s">
        <v>99</v>
      </c>
      <c r="L62" s="1">
        <v>0</v>
      </c>
      <c r="M62" s="1">
        <v>0</v>
      </c>
      <c r="W62" s="1" t="s">
        <v>170</v>
      </c>
      <c r="X62" s="1">
        <v>0</v>
      </c>
      <c r="Y62" s="1"/>
    </row>
    <row r="64" spans="1:28" x14ac:dyDescent="0.25">
      <c r="A64" s="5" t="s">
        <v>31</v>
      </c>
    </row>
    <row r="65" spans="1:52" x14ac:dyDescent="0.25">
      <c r="B65" s="1" t="s">
        <v>32</v>
      </c>
      <c r="C65" s="1">
        <v>5</v>
      </c>
      <c r="D65" s="1"/>
      <c r="E65" s="30" t="s">
        <v>1</v>
      </c>
      <c r="F65" s="30">
        <v>5</v>
      </c>
      <c r="G65" s="30"/>
      <c r="H65" s="30" t="s">
        <v>1</v>
      </c>
      <c r="I65" s="30">
        <v>3</v>
      </c>
      <c r="J65" s="30"/>
      <c r="K65" s="30" t="s">
        <v>1</v>
      </c>
      <c r="L65" s="30">
        <v>2</v>
      </c>
      <c r="M65" s="30"/>
      <c r="N65" s="30" t="s">
        <v>1</v>
      </c>
      <c r="O65" s="30">
        <v>5</v>
      </c>
      <c r="P65" s="30"/>
    </row>
    <row r="66" spans="1:52" ht="30" x14ac:dyDescent="0.25">
      <c r="B66" s="1" t="s">
        <v>33</v>
      </c>
      <c r="C66" s="1">
        <v>5</v>
      </c>
      <c r="D66" s="1"/>
      <c r="E66" s="30" t="s">
        <v>2</v>
      </c>
      <c r="F66" s="30">
        <v>0</v>
      </c>
      <c r="G66" s="30"/>
      <c r="H66" s="30" t="s">
        <v>478</v>
      </c>
      <c r="I66" s="30">
        <v>2</v>
      </c>
      <c r="J66" s="30"/>
      <c r="K66" s="30" t="s">
        <v>2</v>
      </c>
      <c r="L66" s="30">
        <v>3</v>
      </c>
      <c r="M66" s="30"/>
      <c r="N66" s="30" t="s">
        <v>2</v>
      </c>
      <c r="O66" s="30">
        <v>0</v>
      </c>
      <c r="P66" s="30"/>
    </row>
    <row r="67" spans="1:52" ht="30" x14ac:dyDescent="0.25">
      <c r="B67" s="1" t="s">
        <v>186</v>
      </c>
      <c r="C67" s="1">
        <v>3</v>
      </c>
      <c r="D67" s="1"/>
      <c r="E67" s="30" t="s">
        <v>299</v>
      </c>
      <c r="F67" s="30">
        <v>3</v>
      </c>
      <c r="G67" s="30"/>
      <c r="H67" s="30" t="s">
        <v>300</v>
      </c>
      <c r="I67" s="30">
        <v>5</v>
      </c>
      <c r="J67" s="30"/>
      <c r="K67" s="30" t="s">
        <v>13</v>
      </c>
      <c r="L67" s="30">
        <v>5</v>
      </c>
      <c r="M67" s="30"/>
    </row>
    <row r="68" spans="1:52" x14ac:dyDescent="0.25">
      <c r="B68" s="1" t="s">
        <v>35</v>
      </c>
      <c r="C68" s="1">
        <v>3</v>
      </c>
      <c r="D68" s="1"/>
      <c r="E68" s="30" t="s">
        <v>298</v>
      </c>
      <c r="F68" s="30">
        <v>0</v>
      </c>
      <c r="G68" s="30"/>
      <c r="H68" s="30" t="s">
        <v>298</v>
      </c>
      <c r="I68" s="5">
        <v>0</v>
      </c>
    </row>
    <row r="69" spans="1:52" x14ac:dyDescent="0.25">
      <c r="B69" s="1" t="s">
        <v>34</v>
      </c>
      <c r="C69" s="1">
        <v>2</v>
      </c>
      <c r="D69" s="1"/>
    </row>
    <row r="70" spans="1:52" x14ac:dyDescent="0.25">
      <c r="B70" s="1" t="s">
        <v>36</v>
      </c>
      <c r="C70" s="1">
        <v>2</v>
      </c>
      <c r="D70" s="1"/>
    </row>
    <row r="71" spans="1:52" x14ac:dyDescent="0.25">
      <c r="B71" s="1" t="s">
        <v>37</v>
      </c>
      <c r="C71" s="1">
        <v>0</v>
      </c>
      <c r="D71" s="1">
        <v>0</v>
      </c>
    </row>
    <row r="72" spans="1:52" x14ac:dyDescent="0.25">
      <c r="B72" s="1" t="s">
        <v>38</v>
      </c>
      <c r="C72" s="1">
        <v>1</v>
      </c>
      <c r="D72" s="1"/>
    </row>
    <row r="73" spans="1:52" x14ac:dyDescent="0.25">
      <c r="B73" s="1" t="s">
        <v>41</v>
      </c>
      <c r="C73" s="1">
        <v>0</v>
      </c>
      <c r="D73" s="1">
        <v>0</v>
      </c>
    </row>
    <row r="74" spans="1:52" x14ac:dyDescent="0.25">
      <c r="B74" s="1" t="s">
        <v>297</v>
      </c>
      <c r="C74" s="1">
        <v>0</v>
      </c>
      <c r="D74" s="1"/>
    </row>
    <row r="75" spans="1:52" x14ac:dyDescent="0.25">
      <c r="B75" s="1" t="s">
        <v>90</v>
      </c>
      <c r="C75" s="1">
        <v>0</v>
      </c>
      <c r="D75" s="1">
        <v>0</v>
      </c>
    </row>
    <row r="77" spans="1:52" x14ac:dyDescent="0.25">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row>
    <row r="78" spans="1:52" x14ac:dyDescent="0.25">
      <c r="A78" s="1" t="s">
        <v>20</v>
      </c>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row>
    <row r="79" spans="1:52" ht="45" x14ac:dyDescent="0.25">
      <c r="A79" s="1"/>
      <c r="B79" s="1" t="s">
        <v>1</v>
      </c>
      <c r="C79" s="1">
        <v>5</v>
      </c>
      <c r="D79" s="1"/>
      <c r="E79" s="1" t="s">
        <v>1</v>
      </c>
      <c r="F79" s="1">
        <v>5</v>
      </c>
      <c r="G79" s="1"/>
      <c r="H79" s="1" t="s">
        <v>8</v>
      </c>
      <c r="I79" s="1">
        <v>5</v>
      </c>
      <c r="J79" s="1"/>
      <c r="K79" s="1" t="s">
        <v>1</v>
      </c>
      <c r="L79" s="1">
        <v>5</v>
      </c>
      <c r="M79" s="1"/>
      <c r="N79" s="1" t="s">
        <v>8</v>
      </c>
      <c r="O79" s="1">
        <v>5</v>
      </c>
      <c r="P79" s="1"/>
      <c r="Q79" s="1" t="s">
        <v>1</v>
      </c>
      <c r="R79" s="1">
        <v>5</v>
      </c>
      <c r="S79" s="1"/>
      <c r="T79" s="1" t="s">
        <v>77</v>
      </c>
      <c r="U79" s="1">
        <v>1</v>
      </c>
      <c r="V79" s="1"/>
      <c r="W79" s="1" t="s">
        <v>1</v>
      </c>
      <c r="X79" s="1">
        <v>5</v>
      </c>
      <c r="Y79" s="1"/>
      <c r="Z79" s="1" t="s">
        <v>470</v>
      </c>
      <c r="AA79" s="1">
        <v>5</v>
      </c>
      <c r="AB79" s="1"/>
      <c r="AC79" s="1" t="s">
        <v>472</v>
      </c>
      <c r="AD79" s="1">
        <v>5</v>
      </c>
      <c r="AE79" s="1"/>
      <c r="AI79" s="1"/>
      <c r="AK79" s="1"/>
      <c r="AM79" s="1"/>
      <c r="AO79" s="1"/>
      <c r="AQ79" s="1"/>
      <c r="AR79" s="1"/>
      <c r="AS79" s="1"/>
      <c r="AT79" s="1"/>
      <c r="AU79" s="1"/>
      <c r="AV79" s="1"/>
      <c r="AW79" s="1"/>
      <c r="AX79" s="1"/>
      <c r="AY79" s="1"/>
      <c r="AZ79" s="1"/>
    </row>
    <row r="80" spans="1:52" ht="30" x14ac:dyDescent="0.25">
      <c r="A80" s="1"/>
      <c r="B80" s="1" t="s">
        <v>2</v>
      </c>
      <c r="C80" s="1">
        <v>0</v>
      </c>
      <c r="D80" s="1"/>
      <c r="E80" s="1" t="s">
        <v>2</v>
      </c>
      <c r="F80" s="1">
        <v>0</v>
      </c>
      <c r="G80" s="1"/>
      <c r="H80" s="1" t="s">
        <v>21</v>
      </c>
      <c r="I80" s="1">
        <v>3</v>
      </c>
      <c r="J80" s="1"/>
      <c r="K80" s="1" t="s">
        <v>2</v>
      </c>
      <c r="L80" s="1">
        <v>0</v>
      </c>
      <c r="M80" s="1"/>
      <c r="N80" s="1" t="s">
        <v>21</v>
      </c>
      <c r="O80" s="1">
        <v>3</v>
      </c>
      <c r="P80" s="1"/>
      <c r="Q80" s="1" t="s">
        <v>2</v>
      </c>
      <c r="R80" s="1">
        <v>0</v>
      </c>
      <c r="S80" s="1"/>
      <c r="T80" s="1" t="s">
        <v>78</v>
      </c>
      <c r="U80" s="1">
        <v>5</v>
      </c>
      <c r="V80" s="1"/>
      <c r="W80" s="1" t="s">
        <v>2</v>
      </c>
      <c r="X80" s="1">
        <v>0</v>
      </c>
      <c r="Y80" s="1"/>
      <c r="Z80" s="1" t="s">
        <v>113</v>
      </c>
      <c r="AA80" s="1">
        <v>3</v>
      </c>
      <c r="AB80" s="1"/>
      <c r="AC80" s="1" t="s">
        <v>471</v>
      </c>
      <c r="AD80" s="1">
        <v>3</v>
      </c>
      <c r="AE80" s="1"/>
      <c r="AI80" s="1"/>
      <c r="AK80" s="1"/>
      <c r="AM80" s="1"/>
      <c r="AO80" s="1"/>
      <c r="AQ80" s="1"/>
      <c r="AR80" s="1"/>
      <c r="AS80" s="1"/>
      <c r="AT80" s="1"/>
      <c r="AU80" s="1"/>
      <c r="AV80" s="1"/>
      <c r="AW80" s="1"/>
      <c r="AX80" s="1"/>
      <c r="AY80" s="1"/>
      <c r="AZ80" s="1"/>
    </row>
    <row r="81" spans="1:52" ht="30" x14ac:dyDescent="0.25">
      <c r="A81" s="1"/>
      <c r="B81" s="1"/>
      <c r="C81" s="1"/>
      <c r="D81" s="1"/>
      <c r="E81" s="1" t="s">
        <v>41</v>
      </c>
      <c r="F81" s="1">
        <v>0</v>
      </c>
      <c r="G81" s="1">
        <v>0</v>
      </c>
      <c r="H81" s="1" t="s">
        <v>22</v>
      </c>
      <c r="I81" s="1">
        <v>2</v>
      </c>
      <c r="J81" s="1"/>
      <c r="K81" s="1" t="s">
        <v>179</v>
      </c>
      <c r="L81" s="1">
        <v>0</v>
      </c>
      <c r="M81" s="1">
        <v>0</v>
      </c>
      <c r="N81" s="1" t="s">
        <v>22</v>
      </c>
      <c r="O81" s="1">
        <v>2</v>
      </c>
      <c r="P81" s="1"/>
      <c r="Q81" s="1" t="s">
        <v>180</v>
      </c>
      <c r="R81" s="1">
        <v>2</v>
      </c>
      <c r="S81" s="1"/>
      <c r="T81" s="1" t="s">
        <v>79</v>
      </c>
      <c r="U81" s="1">
        <v>3</v>
      </c>
      <c r="V81" s="1"/>
      <c r="W81" s="1"/>
      <c r="X81" s="1"/>
      <c r="Y81" s="1"/>
      <c r="Z81" s="1" t="s">
        <v>183</v>
      </c>
      <c r="AA81" s="1">
        <v>0</v>
      </c>
      <c r="AB81" s="1"/>
      <c r="AC81" s="1" t="s">
        <v>184</v>
      </c>
      <c r="AD81" s="1">
        <v>0</v>
      </c>
      <c r="AE81" s="1"/>
      <c r="AI81" s="1"/>
      <c r="AK81" s="1"/>
      <c r="AL81" s="1"/>
      <c r="AM81" s="1"/>
      <c r="AO81" s="1"/>
      <c r="AQ81" s="1"/>
      <c r="AR81" s="1"/>
      <c r="AS81" s="1"/>
      <c r="AT81" s="1"/>
      <c r="AU81" s="1"/>
      <c r="AV81" s="1"/>
      <c r="AW81" s="1"/>
      <c r="AX81" s="1"/>
      <c r="AY81" s="1"/>
      <c r="AZ81" s="1"/>
    </row>
    <row r="82" spans="1:52" x14ac:dyDescent="0.25">
      <c r="A82" s="1"/>
      <c r="B82" s="1"/>
      <c r="C82" s="1"/>
      <c r="D82" s="1"/>
      <c r="E82" s="1"/>
      <c r="F82" s="1"/>
      <c r="G82" s="1"/>
      <c r="H82" s="1" t="s">
        <v>23</v>
      </c>
      <c r="I82" s="1">
        <v>0</v>
      </c>
      <c r="J82" s="1"/>
      <c r="K82" s="1"/>
      <c r="L82" s="1"/>
      <c r="M82" s="1"/>
      <c r="N82" s="1" t="s">
        <v>23</v>
      </c>
      <c r="O82" s="1">
        <v>0</v>
      </c>
      <c r="P82" s="1"/>
      <c r="Q82" s="1"/>
      <c r="R82" s="1"/>
      <c r="S82" s="1"/>
      <c r="T82" s="1"/>
      <c r="U82" s="1"/>
      <c r="V82" s="1"/>
      <c r="W82" s="1"/>
      <c r="X82" s="1"/>
      <c r="Y82" s="1"/>
      <c r="AC82" s="1" t="s">
        <v>185</v>
      </c>
      <c r="AD82" s="1">
        <v>0</v>
      </c>
      <c r="AE82" s="1"/>
      <c r="AF82" s="1"/>
      <c r="AG82" s="1"/>
      <c r="AH82" s="1"/>
      <c r="AI82" s="1"/>
      <c r="AJ82" s="1"/>
      <c r="AK82" s="1"/>
      <c r="AL82" s="1"/>
      <c r="AM82" s="1"/>
      <c r="AN82" s="1"/>
      <c r="AO82" s="1"/>
      <c r="AQ82" s="1"/>
      <c r="AR82" s="1"/>
      <c r="AS82" s="1"/>
      <c r="AT82" s="1"/>
      <c r="AU82" s="1"/>
      <c r="AV82" s="1"/>
      <c r="AW82" s="1"/>
      <c r="AX82" s="1"/>
      <c r="AY82" s="1"/>
      <c r="AZ82" s="1"/>
    </row>
    <row r="83" spans="1:52" x14ac:dyDescent="0.25">
      <c r="A83" s="1"/>
      <c r="B83" s="1"/>
      <c r="C83" s="1"/>
      <c r="D83" s="1"/>
      <c r="E83" s="1"/>
      <c r="F83" s="1"/>
      <c r="G83" s="1"/>
      <c r="H83" s="1"/>
      <c r="I83" s="1"/>
      <c r="J83" s="1"/>
      <c r="K83" s="1"/>
      <c r="L83" s="1"/>
      <c r="M83" s="1"/>
      <c r="N83" s="1"/>
      <c r="O83" s="1"/>
      <c r="P83" s="1"/>
      <c r="Q83" s="1"/>
      <c r="R83" s="1"/>
      <c r="S83" s="1"/>
      <c r="T83" s="1"/>
      <c r="U83" s="1"/>
      <c r="V83" s="1"/>
      <c r="W83" s="1"/>
      <c r="X83" s="1"/>
      <c r="Y83" s="1"/>
      <c r="AC83" s="1" t="s">
        <v>99</v>
      </c>
      <c r="AD83" s="1">
        <v>0</v>
      </c>
      <c r="AE83" s="1">
        <v>0</v>
      </c>
      <c r="AF83" s="1"/>
      <c r="AG83" s="1"/>
      <c r="AH83" s="1"/>
      <c r="AI83" s="1"/>
      <c r="AJ83" s="1"/>
      <c r="AK83" s="1"/>
      <c r="AL83" s="1"/>
      <c r="AM83" s="1"/>
      <c r="AN83" s="1"/>
      <c r="AO83" s="1"/>
      <c r="AQ83" s="1"/>
      <c r="AR83" s="1"/>
      <c r="AS83" s="1"/>
      <c r="AT83" s="1"/>
      <c r="AU83" s="1"/>
      <c r="AV83" s="1"/>
      <c r="AW83" s="1"/>
      <c r="AX83" s="1"/>
      <c r="AY83" s="1"/>
      <c r="AZ83" s="1"/>
    </row>
    <row r="84" spans="1:52"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t="s">
        <v>90</v>
      </c>
      <c r="AD84" s="1">
        <v>0</v>
      </c>
      <c r="AE84" s="1">
        <v>0</v>
      </c>
      <c r="AF84" s="1"/>
      <c r="AG84" s="1"/>
      <c r="AH84" s="1"/>
      <c r="AI84" s="1"/>
      <c r="AJ84" s="1"/>
      <c r="AK84" s="1"/>
      <c r="AL84" s="1"/>
      <c r="AM84" s="1"/>
      <c r="AN84" s="1"/>
      <c r="AO84" s="1"/>
      <c r="AQ84" s="1"/>
    </row>
    <row r="86" spans="1:52" x14ac:dyDescent="0.25">
      <c r="A86" s="1" t="s">
        <v>40</v>
      </c>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row>
    <row r="87" spans="1:52" ht="45" x14ac:dyDescent="0.25">
      <c r="A87" s="1"/>
      <c r="B87" s="1" t="s">
        <v>190</v>
      </c>
      <c r="C87" s="1">
        <v>5</v>
      </c>
      <c r="D87" s="1"/>
      <c r="E87" s="1" t="s">
        <v>192</v>
      </c>
      <c r="F87" s="1">
        <v>3</v>
      </c>
      <c r="G87" s="1"/>
      <c r="H87" s="1" t="s">
        <v>190</v>
      </c>
      <c r="I87" s="1">
        <v>5</v>
      </c>
      <c r="J87" s="1"/>
      <c r="K87" s="1" t="s">
        <v>2</v>
      </c>
      <c r="L87" s="1"/>
      <c r="M87" s="1"/>
      <c r="N87" s="1" t="s">
        <v>1</v>
      </c>
      <c r="O87" s="1">
        <v>5</v>
      </c>
      <c r="P87" s="1"/>
      <c r="Q87" s="1"/>
      <c r="R87" s="1"/>
      <c r="S87" s="1"/>
      <c r="W87" s="1"/>
      <c r="X87" s="1"/>
      <c r="Y87" s="1"/>
      <c r="AC87" s="1"/>
      <c r="AD87" s="1"/>
      <c r="AE87" s="1"/>
      <c r="AI87" s="1"/>
      <c r="AK87" s="1"/>
      <c r="AM87" s="1"/>
      <c r="AN87" s="1"/>
    </row>
    <row r="88" spans="1:52" ht="30" x14ac:dyDescent="0.25">
      <c r="A88" s="1"/>
      <c r="B88" s="1" t="s">
        <v>191</v>
      </c>
      <c r="C88" s="1">
        <v>3</v>
      </c>
      <c r="D88" s="1"/>
      <c r="E88" s="1" t="s">
        <v>193</v>
      </c>
      <c r="F88" s="1">
        <v>4</v>
      </c>
      <c r="G88" s="1"/>
      <c r="H88" s="1" t="s">
        <v>191</v>
      </c>
      <c r="I88" s="1">
        <v>3</v>
      </c>
      <c r="J88" s="1"/>
      <c r="K88" s="1" t="s">
        <v>42</v>
      </c>
      <c r="L88" s="1"/>
      <c r="M88" s="1"/>
      <c r="N88" s="1" t="s">
        <v>2</v>
      </c>
      <c r="O88" s="1">
        <v>0</v>
      </c>
      <c r="P88" s="1"/>
      <c r="Q88" s="1"/>
      <c r="R88" s="1"/>
      <c r="S88" s="1"/>
      <c r="W88" s="1"/>
      <c r="X88" s="1"/>
      <c r="Y88" s="1"/>
      <c r="AC88" s="1"/>
      <c r="AD88" s="1"/>
      <c r="AE88" s="1"/>
      <c r="AI88" s="1"/>
      <c r="AK88" s="1"/>
      <c r="AM88" s="1"/>
      <c r="AN88" s="1"/>
    </row>
    <row r="89" spans="1:52" ht="30" x14ac:dyDescent="0.25">
      <c r="A89" s="1"/>
      <c r="B89" s="1" t="s">
        <v>2</v>
      </c>
      <c r="C89" s="1">
        <v>0</v>
      </c>
      <c r="D89" s="1"/>
      <c r="E89" s="1" t="s">
        <v>194</v>
      </c>
      <c r="F89" s="1">
        <v>5</v>
      </c>
      <c r="G89" s="1"/>
      <c r="H89" s="1" t="s">
        <v>2</v>
      </c>
      <c r="I89" s="1">
        <v>0</v>
      </c>
      <c r="J89" s="1"/>
      <c r="K89" s="1" t="s">
        <v>43</v>
      </c>
      <c r="L89" s="1"/>
      <c r="M89" s="1"/>
      <c r="N89" s="1" t="s">
        <v>195</v>
      </c>
      <c r="O89" s="1">
        <v>0</v>
      </c>
      <c r="P89" s="1">
        <v>0</v>
      </c>
      <c r="Q89" s="1"/>
      <c r="R89" s="1"/>
      <c r="S89" s="1"/>
      <c r="W89" s="1"/>
      <c r="X89" s="1"/>
      <c r="Y89" s="1"/>
      <c r="AC89" s="1"/>
      <c r="AD89" s="1"/>
      <c r="AE89" s="1"/>
      <c r="AI89" s="1"/>
      <c r="AK89" s="1"/>
      <c r="AM89" s="1"/>
      <c r="AN89" s="1"/>
    </row>
    <row r="90" spans="1:52" x14ac:dyDescent="0.25">
      <c r="A90" s="1"/>
      <c r="B90" s="1" t="s">
        <v>41</v>
      </c>
      <c r="C90" s="1">
        <v>0</v>
      </c>
      <c r="D90" s="1">
        <v>0</v>
      </c>
      <c r="E90" s="1" t="s">
        <v>154</v>
      </c>
      <c r="F90" s="1">
        <v>5</v>
      </c>
      <c r="G90" s="1"/>
      <c r="H90" s="1" t="s">
        <v>41</v>
      </c>
      <c r="I90" s="1">
        <v>0</v>
      </c>
      <c r="J90" s="1">
        <v>0</v>
      </c>
      <c r="K90" s="1"/>
      <c r="L90" s="1"/>
      <c r="M90" s="1"/>
      <c r="N90" s="1"/>
      <c r="O90" s="1"/>
      <c r="P90" s="1"/>
      <c r="Q90" s="1"/>
      <c r="R90" s="1"/>
      <c r="S90" s="1"/>
      <c r="W90" s="1"/>
      <c r="X90" s="1"/>
      <c r="Y90" s="1"/>
      <c r="AC90" s="1"/>
      <c r="AD90" s="1"/>
      <c r="AE90" s="1"/>
      <c r="AI90" s="1"/>
      <c r="AK90" s="1"/>
      <c r="AL90" s="1"/>
      <c r="AM90" s="1"/>
      <c r="AN90" s="1"/>
    </row>
    <row r="91" spans="1:52" x14ac:dyDescent="0.25">
      <c r="A91" s="1"/>
      <c r="B91" s="1"/>
      <c r="C91" s="1"/>
      <c r="D91" s="1"/>
      <c r="E91" s="1" t="s">
        <v>123</v>
      </c>
      <c r="F91" s="1">
        <v>4</v>
      </c>
      <c r="G91" s="1"/>
      <c r="K91" s="1"/>
      <c r="L91" s="1"/>
      <c r="M91" s="1"/>
      <c r="N91" s="1"/>
      <c r="O91" s="1"/>
      <c r="P91" s="1"/>
      <c r="Q91" s="1"/>
      <c r="R91" s="1"/>
      <c r="S91" s="1"/>
      <c r="W91" s="1"/>
      <c r="X91" s="1"/>
      <c r="Y91" s="1"/>
      <c r="Z91" s="1"/>
      <c r="AA91" s="1"/>
      <c r="AB91" s="1"/>
      <c r="AC91" s="1"/>
      <c r="AD91" s="1"/>
      <c r="AE91" s="1"/>
      <c r="AI91" s="1"/>
      <c r="AJ91" s="1"/>
      <c r="AK91" s="1"/>
      <c r="AL91" s="1"/>
      <c r="AM91" s="1"/>
      <c r="AN91" s="1"/>
    </row>
    <row r="92" spans="1:52" x14ac:dyDescent="0.25">
      <c r="A92" s="1"/>
      <c r="B92" s="1"/>
      <c r="C92" s="1"/>
      <c r="D92" s="1"/>
      <c r="E92" s="1" t="s">
        <v>41</v>
      </c>
      <c r="F92" s="1">
        <v>0</v>
      </c>
      <c r="G92" s="1">
        <v>0</v>
      </c>
      <c r="K92" s="1"/>
      <c r="L92" s="1"/>
      <c r="M92" s="1"/>
      <c r="N92" s="1"/>
      <c r="O92" s="1"/>
      <c r="P92" s="1"/>
      <c r="Q92" s="1"/>
      <c r="R92" s="1"/>
      <c r="S92" s="1"/>
      <c r="W92" s="1"/>
      <c r="X92" s="1"/>
      <c r="Y92" s="1"/>
      <c r="Z92" s="1"/>
      <c r="AA92" s="1"/>
      <c r="AB92" s="1"/>
      <c r="AC92" s="1"/>
      <c r="AD92" s="1"/>
      <c r="AE92" s="1"/>
      <c r="AI92" s="1"/>
      <c r="AJ92" s="1"/>
      <c r="AK92" s="1"/>
      <c r="AL92" s="1"/>
      <c r="AM92" s="1"/>
      <c r="AN92" s="1"/>
    </row>
    <row r="93" spans="1:52" x14ac:dyDescent="0.25">
      <c r="A93" s="1"/>
      <c r="B93" s="1"/>
      <c r="C93" s="1"/>
      <c r="D93" s="1"/>
      <c r="E93" s="1"/>
      <c r="F93" s="1"/>
      <c r="G93" s="1"/>
      <c r="K93" s="1"/>
      <c r="L93" s="1"/>
      <c r="M93" s="1"/>
      <c r="N93" s="1"/>
      <c r="O93" s="1"/>
      <c r="P93" s="1"/>
      <c r="Q93" s="1"/>
      <c r="R93" s="1"/>
      <c r="S93" s="1"/>
      <c r="W93" s="1"/>
      <c r="X93" s="1"/>
      <c r="Y93" s="1"/>
      <c r="Z93" s="1"/>
      <c r="AA93" s="1"/>
      <c r="AB93" s="1"/>
      <c r="AC93" s="1"/>
      <c r="AD93" s="1"/>
      <c r="AE93" s="1"/>
      <c r="AF93" s="1"/>
      <c r="AG93" s="1"/>
      <c r="AH93" s="1"/>
      <c r="AI93" s="1"/>
      <c r="AJ93" s="1"/>
      <c r="AK93" s="1"/>
      <c r="AL93" s="1"/>
      <c r="AM93" s="1"/>
      <c r="AN93" s="1"/>
    </row>
    <row r="94" spans="1:52"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row>
    <row r="95" spans="1:52" x14ac:dyDescent="0.25">
      <c r="A95" t="s">
        <v>96</v>
      </c>
    </row>
    <row r="96" spans="1:52" ht="30" x14ac:dyDescent="0.25">
      <c r="B96" s="1" t="s">
        <v>8</v>
      </c>
      <c r="C96" s="1">
        <v>5</v>
      </c>
      <c r="D96" s="1"/>
      <c r="E96" s="1" t="s">
        <v>1</v>
      </c>
      <c r="F96" s="1">
        <v>5</v>
      </c>
      <c r="G96" s="1"/>
      <c r="H96" s="1" t="s">
        <v>198</v>
      </c>
      <c r="I96" s="1">
        <v>5</v>
      </c>
      <c r="J96" s="1"/>
      <c r="K96" s="5" t="s">
        <v>1</v>
      </c>
      <c r="L96" s="5">
        <v>5</v>
      </c>
      <c r="N96" s="1" t="s">
        <v>200</v>
      </c>
      <c r="O96" s="1">
        <v>5</v>
      </c>
      <c r="P96" s="1"/>
      <c r="Q96" s="1" t="s">
        <v>98</v>
      </c>
      <c r="R96" s="1">
        <v>5</v>
      </c>
      <c r="S96" s="1"/>
    </row>
    <row r="97" spans="1:19" ht="45" x14ac:dyDescent="0.25">
      <c r="B97" s="1" t="s">
        <v>21</v>
      </c>
      <c r="C97" s="1">
        <v>3</v>
      </c>
      <c r="D97" s="1"/>
      <c r="E97" s="1" t="s">
        <v>2</v>
      </c>
      <c r="F97" s="1">
        <v>0</v>
      </c>
      <c r="G97" s="1"/>
      <c r="H97" s="1" t="s">
        <v>199</v>
      </c>
      <c r="I97" s="1">
        <v>3</v>
      </c>
      <c r="J97" s="1"/>
      <c r="K97" s="5" t="s">
        <v>2</v>
      </c>
      <c r="L97" s="5">
        <v>0</v>
      </c>
      <c r="N97" s="1" t="s">
        <v>474</v>
      </c>
      <c r="O97" s="1">
        <v>3</v>
      </c>
      <c r="P97" s="1"/>
      <c r="Q97" s="1" t="s">
        <v>475</v>
      </c>
      <c r="R97" s="1">
        <v>4</v>
      </c>
      <c r="S97" s="1"/>
    </row>
    <row r="98" spans="1:19" ht="45" x14ac:dyDescent="0.25">
      <c r="B98" s="5" t="s">
        <v>479</v>
      </c>
      <c r="C98" s="5">
        <v>0</v>
      </c>
      <c r="E98" s="1" t="s">
        <v>195</v>
      </c>
      <c r="F98" s="1">
        <v>0</v>
      </c>
      <c r="G98" s="1">
        <v>0</v>
      </c>
      <c r="H98" s="1" t="s">
        <v>2</v>
      </c>
      <c r="I98" s="1">
        <v>0</v>
      </c>
      <c r="J98" s="1"/>
      <c r="N98" s="1" t="s">
        <v>201</v>
      </c>
      <c r="O98" s="1">
        <v>2</v>
      </c>
      <c r="P98" s="1"/>
      <c r="Q98" s="1" t="s">
        <v>476</v>
      </c>
      <c r="R98" s="1">
        <v>3</v>
      </c>
      <c r="S98" s="1"/>
    </row>
    <row r="99" spans="1:19" ht="60" x14ac:dyDescent="0.25">
      <c r="B99" s="1" t="s">
        <v>197</v>
      </c>
      <c r="C99" s="1">
        <v>0</v>
      </c>
      <c r="D99" s="1"/>
      <c r="N99" s="1" t="s">
        <v>2</v>
      </c>
      <c r="O99" s="1">
        <v>0</v>
      </c>
      <c r="P99" s="1"/>
      <c r="Q99" s="1" t="s">
        <v>204</v>
      </c>
      <c r="R99" s="1">
        <v>1</v>
      </c>
      <c r="S99" s="1"/>
    </row>
    <row r="100" spans="1:19" x14ac:dyDescent="0.25">
      <c r="B100" s="1" t="s">
        <v>41</v>
      </c>
      <c r="C100" s="1">
        <v>0</v>
      </c>
      <c r="D100" s="1">
        <v>0</v>
      </c>
      <c r="Q100" s="1" t="s">
        <v>202</v>
      </c>
      <c r="R100" s="1">
        <v>0</v>
      </c>
      <c r="S100" s="1"/>
    </row>
    <row r="103" spans="1:19" x14ac:dyDescent="0.25">
      <c r="A103" t="s">
        <v>304</v>
      </c>
    </row>
    <row r="104" spans="1:19" x14ac:dyDescent="0.25">
      <c r="B104" s="5" t="s">
        <v>1</v>
      </c>
      <c r="C104" s="5">
        <v>5</v>
      </c>
      <c r="E104" s="1" t="s">
        <v>477</v>
      </c>
      <c r="F104" s="1">
        <v>0</v>
      </c>
      <c r="G104" s="1"/>
    </row>
    <row r="105" spans="1:19" x14ac:dyDescent="0.25">
      <c r="B105" s="5" t="s">
        <v>2</v>
      </c>
      <c r="C105" s="5">
        <v>0</v>
      </c>
      <c r="E105" s="1" t="s">
        <v>93</v>
      </c>
      <c r="F105" s="1">
        <v>1</v>
      </c>
      <c r="G105" s="1"/>
    </row>
    <row r="106" spans="1:19" x14ac:dyDescent="0.25">
      <c r="E106" s="1" t="s">
        <v>23</v>
      </c>
      <c r="F106" s="1">
        <v>2</v>
      </c>
      <c r="G106" s="1"/>
    </row>
    <row r="107" spans="1:19" x14ac:dyDescent="0.25">
      <c r="E107" s="1" t="s">
        <v>22</v>
      </c>
      <c r="F107" s="1">
        <v>3</v>
      </c>
      <c r="G107" s="1"/>
    </row>
    <row r="108" spans="1:19" x14ac:dyDescent="0.25">
      <c r="E108" s="1" t="s">
        <v>101</v>
      </c>
      <c r="F108" s="1">
        <v>4</v>
      </c>
      <c r="G108" s="1"/>
    </row>
    <row r="109" spans="1:19" x14ac:dyDescent="0.25">
      <c r="E109" s="1" t="s">
        <v>307</v>
      </c>
      <c r="F109" s="1">
        <v>5</v>
      </c>
      <c r="G109" s="1"/>
    </row>
    <row r="110" spans="1:19" x14ac:dyDescent="0.25">
      <c r="E110" s="5" t="s">
        <v>306</v>
      </c>
      <c r="F110" s="5">
        <v>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D29"/>
  <sheetViews>
    <sheetView topLeftCell="A2" workbookViewId="0">
      <selection activeCell="I15" sqref="I15"/>
    </sheetView>
  </sheetViews>
  <sheetFormatPr defaultRowHeight="15" x14ac:dyDescent="0.25"/>
  <cols>
    <col min="2" max="2" width="75.140625" customWidth="1"/>
    <col min="4" max="4" width="61.85546875" customWidth="1"/>
  </cols>
  <sheetData>
    <row r="1" spans="1:4" x14ac:dyDescent="0.25">
      <c r="A1" s="84" t="s">
        <v>547</v>
      </c>
      <c r="B1" s="85" t="s">
        <v>548</v>
      </c>
      <c r="C1" s="85"/>
      <c r="D1" s="84" t="s">
        <v>549</v>
      </c>
    </row>
    <row r="2" spans="1:4" x14ac:dyDescent="0.25">
      <c r="A2" s="128">
        <v>2</v>
      </c>
      <c r="B2" s="129" t="s">
        <v>550</v>
      </c>
      <c r="C2" s="86" t="s">
        <v>551</v>
      </c>
      <c r="D2" s="87" t="s">
        <v>552</v>
      </c>
    </row>
    <row r="3" spans="1:4" x14ac:dyDescent="0.25">
      <c r="A3" s="128"/>
      <c r="B3" s="129"/>
      <c r="C3" s="86" t="s">
        <v>553</v>
      </c>
      <c r="D3" s="88" t="s">
        <v>633</v>
      </c>
    </row>
    <row r="4" spans="1:4" x14ac:dyDescent="0.25">
      <c r="A4" s="128"/>
      <c r="B4" s="129"/>
      <c r="C4" s="86" t="s">
        <v>554</v>
      </c>
      <c r="D4" s="88" t="s">
        <v>634</v>
      </c>
    </row>
    <row r="5" spans="1:4" x14ac:dyDescent="0.25">
      <c r="A5" s="128"/>
      <c r="B5" s="129"/>
      <c r="C5" s="86" t="s">
        <v>555</v>
      </c>
      <c r="D5" s="88" t="s">
        <v>556</v>
      </c>
    </row>
    <row r="6" spans="1:4" x14ac:dyDescent="0.25">
      <c r="A6" s="126">
        <v>3</v>
      </c>
      <c r="B6" s="127" t="s">
        <v>557</v>
      </c>
      <c r="C6" s="15" t="s">
        <v>551</v>
      </c>
      <c r="D6" s="88" t="s">
        <v>558</v>
      </c>
    </row>
    <row r="7" spans="1:4" x14ac:dyDescent="0.25">
      <c r="A7" s="126"/>
      <c r="B7" s="127"/>
      <c r="C7" s="15" t="s">
        <v>553</v>
      </c>
      <c r="D7" s="88" t="s">
        <v>559</v>
      </c>
    </row>
    <row r="8" spans="1:4" x14ac:dyDescent="0.25">
      <c r="A8" s="126"/>
      <c r="B8" s="127"/>
      <c r="C8" s="15" t="s">
        <v>554</v>
      </c>
      <c r="D8" s="88" t="s">
        <v>560</v>
      </c>
    </row>
    <row r="9" spans="1:4" x14ac:dyDescent="0.25">
      <c r="A9" s="126"/>
      <c r="B9" s="127"/>
      <c r="C9" s="15" t="s">
        <v>555</v>
      </c>
      <c r="D9" s="88" t="s">
        <v>561</v>
      </c>
    </row>
    <row r="10" spans="1:4" x14ac:dyDescent="0.25">
      <c r="A10" s="126">
        <v>6</v>
      </c>
      <c r="B10" s="127" t="s">
        <v>562</v>
      </c>
      <c r="C10" s="15" t="s">
        <v>551</v>
      </c>
      <c r="D10" s="90" t="s">
        <v>563</v>
      </c>
    </row>
    <row r="11" spans="1:4" x14ac:dyDescent="0.25">
      <c r="A11" s="126"/>
      <c r="B11" s="127"/>
      <c r="C11" s="15" t="s">
        <v>553</v>
      </c>
      <c r="D11" s="90" t="s">
        <v>564</v>
      </c>
    </row>
    <row r="12" spans="1:4" x14ac:dyDescent="0.25">
      <c r="A12" s="126"/>
      <c r="B12" s="127"/>
      <c r="C12" s="15" t="s">
        <v>554</v>
      </c>
      <c r="D12" s="90" t="s">
        <v>565</v>
      </c>
    </row>
    <row r="13" spans="1:4" x14ac:dyDescent="0.25">
      <c r="A13" s="126"/>
      <c r="B13" s="127"/>
      <c r="C13" s="15" t="s">
        <v>555</v>
      </c>
      <c r="D13" s="90" t="s">
        <v>566</v>
      </c>
    </row>
    <row r="14" spans="1:4" x14ac:dyDescent="0.25">
      <c r="A14" s="126"/>
      <c r="B14" s="127"/>
      <c r="C14" s="15" t="s">
        <v>567</v>
      </c>
      <c r="D14" s="90" t="s">
        <v>568</v>
      </c>
    </row>
    <row r="15" spans="1:4" ht="33.75" customHeight="1" x14ac:dyDescent="0.25">
      <c r="A15" s="91">
        <v>8</v>
      </c>
      <c r="B15" s="110" t="s">
        <v>635</v>
      </c>
      <c r="C15" s="124" t="s">
        <v>645</v>
      </c>
      <c r="D15" s="125"/>
    </row>
    <row r="16" spans="1:4" x14ac:dyDescent="0.25">
      <c r="A16" s="91">
        <v>9</v>
      </c>
      <c r="B16" s="110" t="s">
        <v>644</v>
      </c>
      <c r="C16" s="7"/>
      <c r="D16" s="7"/>
    </row>
    <row r="17" spans="1:4" x14ac:dyDescent="0.25">
      <c r="A17" s="91">
        <v>10</v>
      </c>
      <c r="B17" s="89" t="s">
        <v>636</v>
      </c>
      <c r="C17" s="7"/>
      <c r="D17" s="7"/>
    </row>
    <row r="18" spans="1:4" ht="30" x14ac:dyDescent="0.25">
      <c r="A18" s="91">
        <v>11</v>
      </c>
      <c r="B18" s="88" t="s">
        <v>637</v>
      </c>
      <c r="C18" s="7"/>
      <c r="D18" s="7"/>
    </row>
    <row r="19" spans="1:4" ht="15.75" x14ac:dyDescent="0.25">
      <c r="A19" s="122">
        <v>12</v>
      </c>
      <c r="B19" s="118" t="s">
        <v>643</v>
      </c>
      <c r="C19" s="107" t="s">
        <v>551</v>
      </c>
      <c r="D19" s="103" t="s">
        <v>618</v>
      </c>
    </row>
    <row r="20" spans="1:4" ht="15.75" x14ac:dyDescent="0.25">
      <c r="A20" s="123"/>
      <c r="B20" s="118"/>
      <c r="C20" s="95" t="s">
        <v>553</v>
      </c>
      <c r="D20" s="103" t="s">
        <v>619</v>
      </c>
    </row>
    <row r="21" spans="1:4" ht="15.75" x14ac:dyDescent="0.25">
      <c r="A21" s="123"/>
      <c r="B21" s="118"/>
      <c r="C21" s="95" t="s">
        <v>554</v>
      </c>
      <c r="D21" s="103" t="s">
        <v>620</v>
      </c>
    </row>
    <row r="22" spans="1:4" ht="15.75" x14ac:dyDescent="0.25">
      <c r="A22" s="123"/>
      <c r="B22" s="118"/>
      <c r="C22" s="95" t="s">
        <v>555</v>
      </c>
      <c r="D22" s="103" t="s">
        <v>621</v>
      </c>
    </row>
    <row r="23" spans="1:4" ht="15.75" customHeight="1" x14ac:dyDescent="0.25">
      <c r="A23" s="117">
        <v>13</v>
      </c>
      <c r="B23" s="119" t="s">
        <v>622</v>
      </c>
      <c r="C23" s="95" t="s">
        <v>551</v>
      </c>
      <c r="D23" s="103" t="s">
        <v>623</v>
      </c>
    </row>
    <row r="24" spans="1:4" ht="15.75" customHeight="1" x14ac:dyDescent="0.25">
      <c r="A24" s="117"/>
      <c r="B24" s="120"/>
      <c r="C24" s="95" t="s">
        <v>553</v>
      </c>
      <c r="D24" s="103" t="s">
        <v>624</v>
      </c>
    </row>
    <row r="25" spans="1:4" ht="15.75" customHeight="1" x14ac:dyDescent="0.25">
      <c r="A25" s="117"/>
      <c r="B25" s="121"/>
      <c r="C25" s="95" t="s">
        <v>554</v>
      </c>
      <c r="D25" s="103" t="s">
        <v>625</v>
      </c>
    </row>
    <row r="26" spans="1:4" ht="15.75" x14ac:dyDescent="0.25">
      <c r="A26" s="117">
        <v>14</v>
      </c>
      <c r="B26" s="118" t="s">
        <v>626</v>
      </c>
      <c r="C26" s="95" t="s">
        <v>551</v>
      </c>
      <c r="D26" s="103" t="s">
        <v>627</v>
      </c>
    </row>
    <row r="27" spans="1:4" ht="15.75" x14ac:dyDescent="0.25">
      <c r="A27" s="117"/>
      <c r="B27" s="118"/>
      <c r="C27" s="95" t="s">
        <v>553</v>
      </c>
      <c r="D27" s="103" t="s">
        <v>628</v>
      </c>
    </row>
    <row r="28" spans="1:4" ht="15.75" customHeight="1" x14ac:dyDescent="0.25">
      <c r="A28" s="117"/>
      <c r="B28" s="118"/>
      <c r="C28" s="95" t="s">
        <v>554</v>
      </c>
      <c r="D28" s="103" t="s">
        <v>629</v>
      </c>
    </row>
    <row r="29" spans="1:4" ht="15.75" customHeight="1" x14ac:dyDescent="0.25">
      <c r="A29" s="117"/>
      <c r="B29" s="118"/>
      <c r="C29" s="95" t="s">
        <v>555</v>
      </c>
      <c r="D29" s="103" t="s">
        <v>630</v>
      </c>
    </row>
  </sheetData>
  <mergeCells count="13">
    <mergeCell ref="A2:A5"/>
    <mergeCell ref="B2:B5"/>
    <mergeCell ref="C15:D15"/>
    <mergeCell ref="A10:A14"/>
    <mergeCell ref="B10:B14"/>
    <mergeCell ref="A6:A9"/>
    <mergeCell ref="B6:B9"/>
    <mergeCell ref="A26:A29"/>
    <mergeCell ref="B26:B29"/>
    <mergeCell ref="B23:B25"/>
    <mergeCell ref="B19:B22"/>
    <mergeCell ref="A19:A22"/>
    <mergeCell ref="A23:A25"/>
  </mergeCells>
  <conditionalFormatting sqref="D10">
    <cfRule type="expression" dxfId="61" priority="60">
      <formula>#REF!="Yes"</formula>
    </cfRule>
  </conditionalFormatting>
  <conditionalFormatting sqref="D11">
    <cfRule type="expression" dxfId="60" priority="59">
      <formula>#REF!="Yes"</formula>
    </cfRule>
  </conditionalFormatting>
  <conditionalFormatting sqref="D12">
    <cfRule type="expression" dxfId="59" priority="58">
      <formula>#REF!="Yes"</formula>
    </cfRule>
  </conditionalFormatting>
  <conditionalFormatting sqref="D13">
    <cfRule type="expression" dxfId="58" priority="57">
      <formula>#REF!="Yes"</formula>
    </cfRule>
  </conditionalFormatting>
  <conditionalFormatting sqref="D14">
    <cfRule type="expression" dxfId="57" priority="56">
      <formula>#REF!="Yes"</formula>
    </cfRule>
  </conditionalFormatting>
  <conditionalFormatting sqref="D6">
    <cfRule type="expression" dxfId="56" priority="91">
      <formula>#REF!="Option-A"</formula>
    </cfRule>
  </conditionalFormatting>
  <conditionalFormatting sqref="D7">
    <cfRule type="expression" dxfId="55" priority="92">
      <formula>#REF!="Option-B"</formula>
    </cfRule>
  </conditionalFormatting>
  <conditionalFormatting sqref="D8">
    <cfRule type="expression" dxfId="54" priority="93">
      <formula>#REF!="Option-C"</formula>
    </cfRule>
  </conditionalFormatting>
  <conditionalFormatting sqref="D9">
    <cfRule type="expression" dxfId="53" priority="94">
      <formula>#REF!="Option-D"</formula>
    </cfRule>
  </conditionalFormatting>
  <conditionalFormatting sqref="D3">
    <cfRule type="expression" dxfId="52" priority="99">
      <formula>#REF!="Option-B"</formula>
    </cfRule>
  </conditionalFormatting>
  <conditionalFormatting sqref="D4">
    <cfRule type="expression" dxfId="51" priority="100">
      <formula>#REF!="Option-C"</formula>
    </cfRule>
  </conditionalFormatting>
  <conditionalFormatting sqref="D5">
    <cfRule type="expression" dxfId="50" priority="101">
      <formula>#REF!="Option-D"</formula>
    </cfRule>
  </conditionalFormatting>
  <conditionalFormatting sqref="D2">
    <cfRule type="expression" dxfId="49" priority="102">
      <formula>#REF!="Option-A"</formula>
    </cfRule>
  </conditionalFormatting>
  <conditionalFormatting sqref="D19:D29">
    <cfRule type="expression" dxfId="48" priority="103">
      <formula>#REF!="Option-A"</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E23"/>
  <sheetViews>
    <sheetView workbookViewId="0">
      <selection activeCell="G12" sqref="G12"/>
    </sheetView>
  </sheetViews>
  <sheetFormatPr defaultRowHeight="15" x14ac:dyDescent="0.25"/>
  <cols>
    <col min="2" max="2" width="73.42578125" customWidth="1"/>
    <col min="4" max="4" width="55" customWidth="1"/>
  </cols>
  <sheetData>
    <row r="1" spans="1:4" ht="47.25" x14ac:dyDescent="0.25">
      <c r="A1" s="104">
        <v>1</v>
      </c>
      <c r="B1" s="105" t="s">
        <v>638</v>
      </c>
      <c r="C1" s="92"/>
      <c r="D1" s="93"/>
    </row>
    <row r="2" spans="1:4" ht="47.25" x14ac:dyDescent="0.25">
      <c r="A2" s="104">
        <v>2</v>
      </c>
      <c r="B2" s="105" t="s">
        <v>639</v>
      </c>
      <c r="C2" s="92"/>
      <c r="D2" s="93"/>
    </row>
    <row r="3" spans="1:4" ht="31.5" x14ac:dyDescent="0.25">
      <c r="A3" s="104">
        <v>3</v>
      </c>
      <c r="B3" s="105" t="s">
        <v>631</v>
      </c>
      <c r="C3" s="92"/>
      <c r="D3" s="93"/>
    </row>
    <row r="4" spans="1:4" ht="47.25" x14ac:dyDescent="0.25">
      <c r="A4" s="104">
        <v>4</v>
      </c>
      <c r="B4" s="105" t="s">
        <v>640</v>
      </c>
      <c r="C4" s="92"/>
      <c r="D4" s="93"/>
    </row>
    <row r="5" spans="1:4" ht="47.25" x14ac:dyDescent="0.25">
      <c r="A5" s="104">
        <v>5</v>
      </c>
      <c r="B5" s="111" t="s">
        <v>642</v>
      </c>
      <c r="C5" s="92"/>
      <c r="D5" s="93"/>
    </row>
    <row r="6" spans="1:4" ht="47.25" x14ac:dyDescent="0.25">
      <c r="A6" s="104">
        <v>6</v>
      </c>
      <c r="B6" s="111" t="s">
        <v>641</v>
      </c>
      <c r="C6" s="92"/>
      <c r="D6" s="93"/>
    </row>
    <row r="7" spans="1:4" ht="15.75" customHeight="1" x14ac:dyDescent="0.25">
      <c r="A7" s="131">
        <v>7</v>
      </c>
      <c r="B7" s="130" t="s">
        <v>569</v>
      </c>
      <c r="C7" s="95" t="s">
        <v>551</v>
      </c>
      <c r="D7" s="96" t="s">
        <v>570</v>
      </c>
    </row>
    <row r="8" spans="1:4" ht="15.75" x14ac:dyDescent="0.25">
      <c r="A8" s="131"/>
      <c r="B8" s="130"/>
      <c r="C8" s="95" t="s">
        <v>553</v>
      </c>
      <c r="D8" s="93" t="s">
        <v>571</v>
      </c>
    </row>
    <row r="9" spans="1:4" ht="15.75" x14ac:dyDescent="0.25">
      <c r="A9" s="131"/>
      <c r="B9" s="130"/>
      <c r="C9" s="95" t="s">
        <v>554</v>
      </c>
      <c r="D9" s="94" t="s">
        <v>572</v>
      </c>
    </row>
    <row r="10" spans="1:4" ht="15.75" x14ac:dyDescent="0.25">
      <c r="A10" s="131"/>
      <c r="B10" s="130"/>
      <c r="C10" s="95" t="s">
        <v>555</v>
      </c>
      <c r="D10" s="94" t="s">
        <v>573</v>
      </c>
    </row>
    <row r="11" spans="1:4" ht="15.75" customHeight="1" x14ac:dyDescent="0.25">
      <c r="A11" s="131">
        <v>8</v>
      </c>
      <c r="B11" s="130" t="s">
        <v>574</v>
      </c>
      <c r="C11" s="95" t="s">
        <v>551</v>
      </c>
      <c r="D11" s="97" t="s">
        <v>575</v>
      </c>
    </row>
    <row r="12" spans="1:4" ht="15.75" x14ac:dyDescent="0.25">
      <c r="A12" s="131"/>
      <c r="B12" s="130"/>
      <c r="C12" s="95" t="s">
        <v>553</v>
      </c>
      <c r="D12" s="97" t="s">
        <v>576</v>
      </c>
    </row>
    <row r="13" spans="1:4" ht="15.75" x14ac:dyDescent="0.25">
      <c r="A13" s="131"/>
      <c r="B13" s="130"/>
      <c r="C13" s="95" t="s">
        <v>554</v>
      </c>
      <c r="D13" s="97" t="s">
        <v>577</v>
      </c>
    </row>
    <row r="14" spans="1:4" ht="15.75" x14ac:dyDescent="0.25">
      <c r="A14" s="131"/>
      <c r="B14" s="130"/>
      <c r="C14" s="95" t="s">
        <v>555</v>
      </c>
      <c r="D14" s="97" t="s">
        <v>578</v>
      </c>
    </row>
    <row r="15" spans="1:4" ht="15" customHeight="1" x14ac:dyDescent="0.25">
      <c r="A15" s="98">
        <v>9</v>
      </c>
      <c r="B15" s="112" t="s">
        <v>632</v>
      </c>
      <c r="C15" s="106"/>
      <c r="D15" s="108"/>
    </row>
    <row r="16" spans="1:4" ht="15.75" x14ac:dyDescent="0.25">
      <c r="A16" s="131">
        <v>10</v>
      </c>
      <c r="B16" s="132" t="s">
        <v>579</v>
      </c>
      <c r="C16" s="95" t="s">
        <v>551</v>
      </c>
      <c r="D16" s="109" t="s">
        <v>1</v>
      </c>
    </row>
    <row r="17" spans="1:5" ht="15.75" x14ac:dyDescent="0.25">
      <c r="A17" s="131"/>
      <c r="B17" s="133"/>
      <c r="C17" s="95" t="s">
        <v>553</v>
      </c>
      <c r="D17" s="7" t="s">
        <v>2</v>
      </c>
    </row>
    <row r="18" spans="1:5" ht="15.75" x14ac:dyDescent="0.25">
      <c r="A18" s="126">
        <v>11</v>
      </c>
      <c r="B18" s="130" t="s">
        <v>647</v>
      </c>
      <c r="C18" s="95" t="s">
        <v>551</v>
      </c>
      <c r="D18" s="114" t="s">
        <v>648</v>
      </c>
      <c r="E18" s="113"/>
    </row>
    <row r="19" spans="1:5" ht="15.75" customHeight="1" x14ac:dyDescent="0.25">
      <c r="A19" s="126"/>
      <c r="B19" s="130"/>
      <c r="C19" s="95" t="s">
        <v>553</v>
      </c>
      <c r="D19" s="114" t="s">
        <v>649</v>
      </c>
      <c r="E19" s="113"/>
    </row>
    <row r="20" spans="1:5" ht="15.75" x14ac:dyDescent="0.25">
      <c r="A20" s="126"/>
      <c r="B20" s="130"/>
      <c r="C20" s="95" t="s">
        <v>554</v>
      </c>
      <c r="D20" s="114" t="s">
        <v>650</v>
      </c>
      <c r="E20" s="113"/>
    </row>
    <row r="21" spans="1:5" ht="31.5" customHeight="1" x14ac:dyDescent="0.25">
      <c r="A21" s="126"/>
      <c r="B21" s="130"/>
      <c r="C21" s="95" t="s">
        <v>555</v>
      </c>
      <c r="D21" s="114" t="s">
        <v>651</v>
      </c>
      <c r="E21" s="113"/>
    </row>
    <row r="22" spans="1:5" ht="15.75" x14ac:dyDescent="0.25">
      <c r="A22" s="126">
        <v>12</v>
      </c>
      <c r="B22" s="130" t="s">
        <v>646</v>
      </c>
      <c r="C22" s="95" t="s">
        <v>551</v>
      </c>
      <c r="D22" s="114" t="s">
        <v>653</v>
      </c>
      <c r="E22" s="113"/>
    </row>
    <row r="23" spans="1:5" ht="15.75" x14ac:dyDescent="0.25">
      <c r="A23" s="126"/>
      <c r="B23" s="130"/>
      <c r="C23" s="95" t="s">
        <v>553</v>
      </c>
      <c r="D23" s="114" t="s">
        <v>652</v>
      </c>
      <c r="E23" s="113"/>
    </row>
  </sheetData>
  <mergeCells count="10">
    <mergeCell ref="A7:A10"/>
    <mergeCell ref="B7:B10"/>
    <mergeCell ref="A11:A14"/>
    <mergeCell ref="B11:B14"/>
    <mergeCell ref="B22:B23"/>
    <mergeCell ref="A22:A23"/>
    <mergeCell ref="B18:B21"/>
    <mergeCell ref="A18:A21"/>
    <mergeCell ref="A16:A17"/>
    <mergeCell ref="B16:B17"/>
  </mergeCells>
  <conditionalFormatting sqref="D1:D6">
    <cfRule type="expression" dxfId="47" priority="89">
      <formula>#REF!="Option-A"</formula>
    </cfRule>
  </conditionalFormatting>
  <conditionalFormatting sqref="D11">
    <cfRule type="expression" dxfId="46" priority="90">
      <formula>#REF!="Option-A"</formula>
    </cfRule>
  </conditionalFormatting>
  <conditionalFormatting sqref="D12">
    <cfRule type="expression" dxfId="45" priority="91">
      <formula>#REF!="Option-B"</formula>
    </cfRule>
  </conditionalFormatting>
  <conditionalFormatting sqref="D14">
    <cfRule type="expression" dxfId="44" priority="92">
      <formula>#REF!="Option-D"</formula>
    </cfRule>
  </conditionalFormatting>
  <conditionalFormatting sqref="D13">
    <cfRule type="expression" dxfId="43" priority="93">
      <formula>#REF!="Option-C"</formula>
    </cfRule>
  </conditionalFormatting>
  <conditionalFormatting sqref="D7">
    <cfRule type="expression" dxfId="42" priority="94">
      <formula>#REF!="Option-A"</formula>
    </cfRule>
  </conditionalFormatting>
  <conditionalFormatting sqref="D8">
    <cfRule type="expression" dxfId="41" priority="95">
      <formula>#REF!="Option-B"</formula>
    </cfRule>
  </conditionalFormatting>
  <conditionalFormatting sqref="D9">
    <cfRule type="expression" dxfId="40" priority="96">
      <formula>#REF!="Option-C"</formula>
    </cfRule>
  </conditionalFormatting>
  <conditionalFormatting sqref="D10">
    <cfRule type="expression" dxfId="39" priority="97">
      <formula>#REF!="Option-D"</formula>
    </cfRule>
  </conditionalFormatting>
  <conditionalFormatting sqref="D15">
    <cfRule type="expression" dxfId="38" priority="98">
      <formula>#REF!="Option-A"</formula>
    </cfRule>
  </conditionalFormatting>
  <conditionalFormatting sqref="D16">
    <cfRule type="expression" dxfId="37" priority="10">
      <formula>#REF!="Option-A"</formula>
    </cfRule>
  </conditionalFormatting>
  <conditionalFormatting sqref="D18">
    <cfRule type="expression" dxfId="36" priority="8">
      <formula>$E$3="Option-A"</formula>
    </cfRule>
  </conditionalFormatting>
  <conditionalFormatting sqref="D19">
    <cfRule type="expression" dxfId="35" priority="7">
      <formula>$E$3="Option-A"</formula>
    </cfRule>
  </conditionalFormatting>
  <conditionalFormatting sqref="D20">
    <cfRule type="expression" dxfId="34" priority="6">
      <formula>$E$3="Option-A"</formula>
    </cfRule>
  </conditionalFormatting>
  <conditionalFormatting sqref="D21">
    <cfRule type="expression" dxfId="33" priority="5">
      <formula>$E$3="Option-A"</formula>
    </cfRule>
  </conditionalFormatting>
  <conditionalFormatting sqref="D22">
    <cfRule type="expression" dxfId="32" priority="4">
      <formula>$E$3="Option-A"</formula>
    </cfRule>
  </conditionalFormatting>
  <conditionalFormatting sqref="D23">
    <cfRule type="expression" dxfId="31" priority="3">
      <formula>$E$3="Option-A"</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quirementMgmt"/>
  <dimension ref="A1:G21"/>
  <sheetViews>
    <sheetView topLeftCell="A8" workbookViewId="0">
      <selection activeCell="E10" sqref="E10"/>
    </sheetView>
  </sheetViews>
  <sheetFormatPr defaultRowHeight="15" x14ac:dyDescent="0.25"/>
  <cols>
    <col min="2" max="2" width="57" bestFit="1" customWidth="1"/>
    <col min="3" max="3" width="24.85546875" customWidth="1"/>
    <col min="4" max="4" width="44.7109375" style="5" customWidth="1"/>
    <col min="5" max="5" width="17.28515625" customWidth="1"/>
    <col min="6" max="7" width="0" hidden="1" customWidth="1"/>
  </cols>
  <sheetData>
    <row r="1" spans="1:7" ht="14.45" x14ac:dyDescent="0.3">
      <c r="D1" s="4" t="s">
        <v>116</v>
      </c>
      <c r="F1" s="4" t="s">
        <v>317</v>
      </c>
      <c r="G1" s="4" t="s">
        <v>318</v>
      </c>
    </row>
    <row r="2" spans="1:7" ht="28.9" x14ac:dyDescent="0.3">
      <c r="A2" t="s">
        <v>319</v>
      </c>
      <c r="B2" s="13" t="s">
        <v>494</v>
      </c>
      <c r="C2" s="12" t="s">
        <v>2</v>
      </c>
      <c r="D2" s="21"/>
      <c r="F2">
        <v>0</v>
      </c>
      <c r="G2">
        <v>5</v>
      </c>
    </row>
    <row r="3" spans="1:7" ht="28.9" x14ac:dyDescent="0.3">
      <c r="A3" t="s">
        <v>320</v>
      </c>
      <c r="B3" s="13" t="s">
        <v>493</v>
      </c>
      <c r="C3" s="12" t="s">
        <v>1</v>
      </c>
      <c r="D3" s="21"/>
      <c r="F3">
        <v>5</v>
      </c>
      <c r="G3">
        <v>5</v>
      </c>
    </row>
    <row r="4" spans="1:7" ht="28.9" x14ac:dyDescent="0.3">
      <c r="A4" t="s">
        <v>321</v>
      </c>
      <c r="B4" s="13" t="s">
        <v>314</v>
      </c>
      <c r="C4" s="12" t="s">
        <v>1</v>
      </c>
      <c r="D4" s="21"/>
      <c r="F4">
        <v>5</v>
      </c>
      <c r="G4">
        <v>5</v>
      </c>
    </row>
    <row r="5" spans="1:7" ht="14.45" x14ac:dyDescent="0.3">
      <c r="A5" t="s">
        <v>322</v>
      </c>
      <c r="B5" s="7" t="s">
        <v>58</v>
      </c>
      <c r="C5" s="12" t="s">
        <v>1</v>
      </c>
      <c r="D5" s="21"/>
      <c r="F5">
        <v>5</v>
      </c>
      <c r="G5">
        <v>5</v>
      </c>
    </row>
    <row r="7" spans="1:7" x14ac:dyDescent="0.25">
      <c r="C7" s="134">
        <f>F7</f>
        <v>15</v>
      </c>
      <c r="F7">
        <f>SUM(F2:F5)</f>
        <v>15</v>
      </c>
      <c r="G7">
        <f>SUM(G2:G5)</f>
        <v>20</v>
      </c>
    </row>
    <row r="8" spans="1:7" x14ac:dyDescent="0.25">
      <c r="C8" s="134"/>
    </row>
    <row r="10" spans="1:7" x14ac:dyDescent="0.25">
      <c r="B10" t="s">
        <v>658</v>
      </c>
      <c r="C10">
        <v>5</v>
      </c>
      <c r="D10" s="5" t="s">
        <v>1</v>
      </c>
    </row>
    <row r="11" spans="1:7" x14ac:dyDescent="0.25">
      <c r="C11">
        <v>0</v>
      </c>
      <c r="D11" s="5" t="s">
        <v>2</v>
      </c>
    </row>
    <row r="12" spans="1:7" ht="45" x14ac:dyDescent="0.25">
      <c r="B12" s="135" t="s">
        <v>580</v>
      </c>
      <c r="C12" s="86" t="s">
        <v>551</v>
      </c>
      <c r="D12" s="99" t="s">
        <v>581</v>
      </c>
    </row>
    <row r="13" spans="1:7" ht="60" x14ac:dyDescent="0.25">
      <c r="B13" s="135"/>
      <c r="C13" s="86" t="s">
        <v>553</v>
      </c>
      <c r="D13" s="99" t="s">
        <v>582</v>
      </c>
    </row>
    <row r="14" spans="1:7" ht="60" x14ac:dyDescent="0.25">
      <c r="B14" s="135"/>
      <c r="C14" s="86" t="s">
        <v>554</v>
      </c>
      <c r="D14" s="100" t="s">
        <v>583</v>
      </c>
    </row>
    <row r="15" spans="1:7" ht="30" x14ac:dyDescent="0.25">
      <c r="B15" s="135"/>
      <c r="C15" s="86" t="s">
        <v>555</v>
      </c>
      <c r="D15" s="99" t="s">
        <v>584</v>
      </c>
    </row>
    <row r="17" spans="2:4" ht="31.5" x14ac:dyDescent="0.25">
      <c r="B17" s="118" t="s">
        <v>585</v>
      </c>
      <c r="C17" s="95" t="s">
        <v>551</v>
      </c>
      <c r="D17" s="93" t="s">
        <v>586</v>
      </c>
    </row>
    <row r="18" spans="2:4" ht="31.5" x14ac:dyDescent="0.25">
      <c r="B18" s="118"/>
      <c r="C18" s="95" t="s">
        <v>553</v>
      </c>
      <c r="D18" s="93" t="s">
        <v>587</v>
      </c>
    </row>
    <row r="19" spans="2:4" ht="15.75" x14ac:dyDescent="0.25">
      <c r="B19" s="118" t="s">
        <v>588</v>
      </c>
      <c r="C19" s="95" t="s">
        <v>551</v>
      </c>
      <c r="D19" s="93" t="s">
        <v>589</v>
      </c>
    </row>
    <row r="20" spans="2:4" ht="15.75" x14ac:dyDescent="0.25">
      <c r="B20" s="118"/>
      <c r="C20" s="95" t="s">
        <v>553</v>
      </c>
      <c r="D20" s="93" t="s">
        <v>590</v>
      </c>
    </row>
    <row r="21" spans="2:4" ht="47.25" x14ac:dyDescent="0.25">
      <c r="B21" s="118"/>
      <c r="C21" s="101" t="s">
        <v>554</v>
      </c>
      <c r="D21" s="102" t="s">
        <v>591</v>
      </c>
    </row>
  </sheetData>
  <mergeCells count="4">
    <mergeCell ref="B19:B21"/>
    <mergeCell ref="C7:C8"/>
    <mergeCell ref="B12:B15"/>
    <mergeCell ref="B17:B18"/>
  </mergeCells>
  <conditionalFormatting sqref="D12">
    <cfRule type="expression" dxfId="30" priority="9">
      <formula>$E$4="Option-A"</formula>
    </cfRule>
  </conditionalFormatting>
  <conditionalFormatting sqref="D13">
    <cfRule type="expression" dxfId="29" priority="8">
      <formula>$E$4="Option-B"</formula>
    </cfRule>
  </conditionalFormatting>
  <conditionalFormatting sqref="D14">
    <cfRule type="expression" dxfId="28" priority="7">
      <formula>$E$4="Option-C"</formula>
    </cfRule>
  </conditionalFormatting>
  <conditionalFormatting sqref="D15">
    <cfRule type="expression" dxfId="27" priority="6">
      <formula>$E$4="Option-D"</formula>
    </cfRule>
  </conditionalFormatting>
  <conditionalFormatting sqref="D21">
    <cfRule type="expression" dxfId="26" priority="1">
      <formula>$E$36="Option-C"</formula>
    </cfRule>
  </conditionalFormatting>
  <conditionalFormatting sqref="D17">
    <cfRule type="expression" dxfId="25" priority="5">
      <formula>$E$33="Option-A"</formula>
    </cfRule>
  </conditionalFormatting>
  <conditionalFormatting sqref="D18">
    <cfRule type="expression" dxfId="24" priority="4">
      <formula>$E$33="Option-B"</formula>
    </cfRule>
  </conditionalFormatting>
  <conditionalFormatting sqref="D19">
    <cfRule type="expression" dxfId="23" priority="3">
      <formula>$E$36="Option-A"</formula>
    </cfRule>
  </conditionalFormatting>
  <conditionalFormatting sqref="D20">
    <cfRule type="expression" dxfId="22" priority="2">
      <formula>$E$36="Option-B"</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8673" r:id="rId4" name="btnRequirementMgmt_Calculate">
          <controlPr defaultSize="0" autoLine="0" r:id="rId5">
            <anchor moveWithCells="1">
              <from>
                <xdr:col>1</xdr:col>
                <xdr:colOff>2619375</xdr:colOff>
                <xdr:row>5</xdr:row>
                <xdr:rowOff>152400</xdr:rowOff>
              </from>
              <to>
                <xdr:col>2</xdr:col>
                <xdr:colOff>104775</xdr:colOff>
                <xdr:row>7</xdr:row>
                <xdr:rowOff>142875</xdr:rowOff>
              </to>
            </anchor>
          </controlPr>
        </control>
      </mc:Choice>
      <mc:Fallback>
        <control shapeId="28673" r:id="rId4" name="btnRequirementMgmt_Calcul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DataNew!$B$7:$B$8</xm:f>
          </x14:formula1>
          <xm:sqref>C2:C5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VersionControl"/>
  <dimension ref="A1:G29"/>
  <sheetViews>
    <sheetView zoomScale="120" zoomScaleNormal="120" workbookViewId="0">
      <selection activeCell="C4" sqref="C4"/>
    </sheetView>
  </sheetViews>
  <sheetFormatPr defaultRowHeight="15" x14ac:dyDescent="0.25"/>
  <cols>
    <col min="2" max="2" width="74" customWidth="1"/>
    <col min="3" max="3" width="24.85546875" style="1" customWidth="1"/>
    <col min="4" max="4" width="44.7109375" style="30" customWidth="1"/>
    <col min="5" max="5" width="10.28515625" style="30" customWidth="1"/>
    <col min="6" max="6" width="9" style="46" customWidth="1"/>
    <col min="7" max="7" width="8.85546875" style="3" customWidth="1"/>
  </cols>
  <sheetData>
    <row r="1" spans="1:7" ht="14.45" x14ac:dyDescent="0.3">
      <c r="D1" s="40" t="s">
        <v>116</v>
      </c>
      <c r="E1" s="40"/>
      <c r="F1" s="41" t="s">
        <v>317</v>
      </c>
      <c r="G1" s="3" t="s">
        <v>318</v>
      </c>
    </row>
    <row r="2" spans="1:7" ht="14.45" x14ac:dyDescent="0.3">
      <c r="A2" s="28" t="s">
        <v>311</v>
      </c>
      <c r="B2" s="7"/>
      <c r="C2" s="13"/>
      <c r="D2" s="39"/>
      <c r="E2" s="36"/>
      <c r="F2" s="45"/>
    </row>
    <row r="3" spans="1:7" ht="14.45" x14ac:dyDescent="0.3">
      <c r="A3" s="43" t="s">
        <v>319</v>
      </c>
      <c r="B3" s="7" t="s">
        <v>220</v>
      </c>
      <c r="C3" s="14" t="s">
        <v>1</v>
      </c>
      <c r="D3" s="21"/>
      <c r="E3" s="36"/>
      <c r="F3" s="45">
        <v>5</v>
      </c>
      <c r="G3" s="3">
        <v>5</v>
      </c>
    </row>
    <row r="4" spans="1:7" ht="14.45" x14ac:dyDescent="0.3">
      <c r="A4" s="43" t="s">
        <v>320</v>
      </c>
      <c r="B4" s="7" t="s">
        <v>222</v>
      </c>
      <c r="C4" s="14" t="s">
        <v>2</v>
      </c>
      <c r="D4" s="48"/>
      <c r="E4" s="36"/>
      <c r="F4" s="45">
        <v>0</v>
      </c>
      <c r="G4" s="3">
        <v>5</v>
      </c>
    </row>
    <row r="5" spans="1:7" ht="14.45" x14ac:dyDescent="0.3">
      <c r="A5" s="43" t="s">
        <v>321</v>
      </c>
      <c r="B5" s="7" t="s">
        <v>223</v>
      </c>
      <c r="C5" s="14" t="s">
        <v>2</v>
      </c>
      <c r="D5" s="48"/>
      <c r="E5" s="36"/>
      <c r="F5" s="45">
        <v>5</v>
      </c>
      <c r="G5" s="3">
        <v>5</v>
      </c>
    </row>
    <row r="6" spans="1:7" ht="14.45" x14ac:dyDescent="0.3">
      <c r="A6" s="44" t="s">
        <v>322</v>
      </c>
      <c r="B6" s="7" t="s">
        <v>224</v>
      </c>
      <c r="C6" s="14" t="s">
        <v>1</v>
      </c>
      <c r="D6" s="48"/>
      <c r="E6" s="36"/>
      <c r="F6" s="45">
        <v>5</v>
      </c>
      <c r="G6" s="3">
        <v>5</v>
      </c>
    </row>
    <row r="7" spans="1:7" ht="14.45" x14ac:dyDescent="0.3">
      <c r="A7" s="44" t="s">
        <v>323</v>
      </c>
      <c r="B7" s="7" t="s">
        <v>225</v>
      </c>
      <c r="C7" s="14" t="s">
        <v>1</v>
      </c>
      <c r="D7" s="48"/>
      <c r="E7" s="36"/>
      <c r="F7" s="45">
        <v>0</v>
      </c>
      <c r="G7" s="3">
        <v>5</v>
      </c>
    </row>
    <row r="8" spans="1:7" ht="14.45" x14ac:dyDescent="0.3">
      <c r="A8" s="28" t="s">
        <v>226</v>
      </c>
      <c r="B8" s="7"/>
      <c r="C8" s="13"/>
      <c r="D8" s="39"/>
      <c r="E8" s="36"/>
      <c r="F8" s="45"/>
    </row>
    <row r="9" spans="1:7" ht="14.45" x14ac:dyDescent="0.3">
      <c r="A9" s="44" t="s">
        <v>324</v>
      </c>
      <c r="B9" s="7" t="s">
        <v>354</v>
      </c>
      <c r="C9" s="14" t="s">
        <v>118</v>
      </c>
      <c r="D9" s="48"/>
      <c r="E9" s="36"/>
      <c r="F9" s="45">
        <v>3</v>
      </c>
      <c r="G9" s="3">
        <v>5</v>
      </c>
    </row>
    <row r="10" spans="1:7" ht="28.9" x14ac:dyDescent="0.3">
      <c r="A10" s="44" t="s">
        <v>325</v>
      </c>
      <c r="B10" s="13" t="s">
        <v>59</v>
      </c>
      <c r="C10" s="14" t="s">
        <v>2</v>
      </c>
      <c r="D10" s="48"/>
      <c r="E10" s="36"/>
      <c r="F10" s="45">
        <v>0</v>
      </c>
      <c r="G10" s="3">
        <v>5</v>
      </c>
    </row>
    <row r="11" spans="1:7" ht="14.45" hidden="1" x14ac:dyDescent="0.3">
      <c r="A11" s="28" t="s">
        <v>60</v>
      </c>
      <c r="B11" s="7"/>
      <c r="C11" s="13"/>
      <c r="D11" s="39"/>
      <c r="E11" s="36"/>
      <c r="F11" s="45"/>
    </row>
    <row r="12" spans="1:7" ht="14.45" hidden="1" x14ac:dyDescent="0.3">
      <c r="A12" s="44" t="s">
        <v>326</v>
      </c>
      <c r="B12" s="11" t="s">
        <v>227</v>
      </c>
      <c r="C12" s="14" t="s">
        <v>68</v>
      </c>
      <c r="D12" s="48"/>
      <c r="E12" s="36"/>
      <c r="F12" s="45">
        <v>0</v>
      </c>
      <c r="G12" s="3">
        <v>0</v>
      </c>
    </row>
    <row r="13" spans="1:7" ht="28.9" hidden="1" x14ac:dyDescent="0.3">
      <c r="A13" s="44" t="s">
        <v>327</v>
      </c>
      <c r="B13" s="11" t="s">
        <v>228</v>
      </c>
      <c r="C13" s="14" t="s">
        <v>315</v>
      </c>
      <c r="D13" s="48"/>
      <c r="E13" s="36"/>
      <c r="F13" s="45">
        <v>0</v>
      </c>
      <c r="G13" s="3">
        <v>0</v>
      </c>
    </row>
    <row r="14" spans="1:7" ht="14.45" hidden="1" x14ac:dyDescent="0.3">
      <c r="A14" s="44" t="s">
        <v>328</v>
      </c>
      <c r="B14" s="11" t="s">
        <v>355</v>
      </c>
      <c r="C14" s="14" t="s">
        <v>121</v>
      </c>
      <c r="D14" s="48"/>
      <c r="E14" s="36"/>
      <c r="F14" s="45">
        <v>0</v>
      </c>
      <c r="G14" s="3">
        <v>0</v>
      </c>
    </row>
    <row r="15" spans="1:7" ht="14.45" hidden="1" x14ac:dyDescent="0.3">
      <c r="A15" s="44" t="s">
        <v>329</v>
      </c>
      <c r="B15" s="11" t="s">
        <v>61</v>
      </c>
      <c r="C15" s="14" t="s">
        <v>22</v>
      </c>
      <c r="D15" s="48"/>
      <c r="E15" s="36"/>
      <c r="F15" s="45">
        <v>0</v>
      </c>
      <c r="G15" s="3">
        <v>0</v>
      </c>
    </row>
    <row r="16" spans="1:7" ht="28.9" hidden="1" x14ac:dyDescent="0.3">
      <c r="A16" s="44" t="s">
        <v>330</v>
      </c>
      <c r="B16" s="11" t="s">
        <v>62</v>
      </c>
      <c r="C16" s="14" t="s">
        <v>461</v>
      </c>
      <c r="D16" s="48"/>
      <c r="E16" s="36"/>
      <c r="F16" s="45">
        <v>0</v>
      </c>
      <c r="G16" s="3">
        <v>0</v>
      </c>
    </row>
    <row r="17" spans="1:7" ht="14.45" hidden="1" x14ac:dyDescent="0.3">
      <c r="A17" s="44" t="s">
        <v>331</v>
      </c>
      <c r="B17" s="11" t="s">
        <v>229</v>
      </c>
      <c r="C17" s="14" t="s">
        <v>123</v>
      </c>
      <c r="D17" s="48"/>
      <c r="E17" s="36"/>
      <c r="F17" s="45">
        <v>0</v>
      </c>
      <c r="G17" s="3">
        <v>0</v>
      </c>
    </row>
    <row r="18" spans="1:7" ht="14.45" hidden="1" x14ac:dyDescent="0.3">
      <c r="A18" s="44" t="s">
        <v>332</v>
      </c>
      <c r="B18" s="11" t="s">
        <v>63</v>
      </c>
      <c r="C18" s="14" t="s">
        <v>79</v>
      </c>
      <c r="D18" s="48"/>
      <c r="E18" s="36"/>
      <c r="F18" s="45">
        <v>0</v>
      </c>
      <c r="G18" s="3">
        <v>0</v>
      </c>
    </row>
    <row r="19" spans="1:7" ht="14.45" x14ac:dyDescent="0.3">
      <c r="A19" s="28" t="s">
        <v>7</v>
      </c>
      <c r="B19" s="7"/>
      <c r="C19" s="13"/>
      <c r="D19" s="39"/>
      <c r="E19" s="36"/>
      <c r="F19" s="45"/>
    </row>
    <row r="20" spans="1:7" ht="14.45" x14ac:dyDescent="0.3">
      <c r="A20" s="44" t="s">
        <v>333</v>
      </c>
      <c r="B20" s="7" t="s">
        <v>495</v>
      </c>
      <c r="C20" s="14" t="s">
        <v>2</v>
      </c>
      <c r="D20" s="48"/>
      <c r="E20" s="36"/>
      <c r="F20" s="45">
        <v>0</v>
      </c>
      <c r="G20" s="3">
        <v>5</v>
      </c>
    </row>
    <row r="21" spans="1:7" ht="28.9" x14ac:dyDescent="0.3">
      <c r="A21" s="44" t="s">
        <v>334</v>
      </c>
      <c r="B21" s="77" t="s">
        <v>356</v>
      </c>
      <c r="C21" s="78" t="s">
        <v>2</v>
      </c>
      <c r="D21" s="79"/>
      <c r="E21" s="36"/>
      <c r="F21" s="45">
        <v>0</v>
      </c>
      <c r="G21" s="3">
        <v>5</v>
      </c>
    </row>
    <row r="22" spans="1:7" ht="14.45" x14ac:dyDescent="0.3">
      <c r="A22" s="7" t="s">
        <v>60</v>
      </c>
      <c r="B22" s="13"/>
      <c r="C22" s="71"/>
      <c r="D22" s="71"/>
      <c r="E22" s="36"/>
      <c r="F22" s="45"/>
    </row>
    <row r="23" spans="1:7" ht="28.9" x14ac:dyDescent="0.3">
      <c r="A23" s="80" t="s">
        <v>362</v>
      </c>
      <c r="B23" s="13" t="s">
        <v>509</v>
      </c>
      <c r="C23" s="14" t="s">
        <v>1</v>
      </c>
      <c r="D23" s="72"/>
      <c r="E23" s="36"/>
      <c r="F23" s="45">
        <v>5</v>
      </c>
      <c r="G23" s="3">
        <v>5</v>
      </c>
    </row>
    <row r="24" spans="1:7" ht="14.45" x14ac:dyDescent="0.3">
      <c r="A24" s="44"/>
      <c r="B24" s="31"/>
      <c r="C24" s="31"/>
      <c r="D24" s="36"/>
      <c r="E24" s="36"/>
      <c r="F24" s="45"/>
    </row>
    <row r="25" spans="1:7" ht="14.45" x14ac:dyDescent="0.3">
      <c r="F25" s="46">
        <f xml:space="preserve"> SUM(F3:F23)</f>
        <v>23</v>
      </c>
      <c r="G25" s="46">
        <f xml:space="preserve"> SUM(G3:G23)</f>
        <v>50</v>
      </c>
    </row>
    <row r="26" spans="1:7" ht="18.75" x14ac:dyDescent="0.25">
      <c r="C26" s="134">
        <f xml:space="preserve"> F26</f>
        <v>46</v>
      </c>
      <c r="F26" s="47">
        <f>(F25*G26)/G25</f>
        <v>46</v>
      </c>
      <c r="G26" s="3">
        <v>100</v>
      </c>
    </row>
    <row r="27" spans="1:7" x14ac:dyDescent="0.25">
      <c r="C27" s="134"/>
    </row>
    <row r="29" spans="1:7" ht="135" x14ac:dyDescent="0.25">
      <c r="B29" t="s">
        <v>513</v>
      </c>
      <c r="C29" s="1" t="s">
        <v>514</v>
      </c>
    </row>
  </sheetData>
  <dataConsolidate/>
  <mergeCells count="1">
    <mergeCell ref="C26:C27"/>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ListBox1">
          <controlPr autoLine="0" autoPict="0" linkedCell="#REF!" listFillRange="#REF!" r:id="rId5">
            <anchor moveWithCells="1" sizeWithCells="1">
              <from>
                <xdr:col>2</xdr:col>
                <xdr:colOff>0</xdr:colOff>
                <xdr:row>0</xdr:row>
                <xdr:rowOff>171450</xdr:rowOff>
              </from>
              <to>
                <xdr:col>3</xdr:col>
                <xdr:colOff>28575</xdr:colOff>
                <xdr:row>1</xdr:row>
                <xdr:rowOff>0</xdr:rowOff>
              </to>
            </anchor>
          </controlPr>
        </control>
      </mc:Choice>
      <mc:Fallback>
        <control shapeId="7169" r:id="rId4" name="ListBox1"/>
      </mc:Fallback>
    </mc:AlternateContent>
    <mc:AlternateContent xmlns:mc="http://schemas.openxmlformats.org/markup-compatibility/2006">
      <mc:Choice Requires="x14">
        <control shapeId="7178" r:id="rId6" name="btnVersionControl_Calculate">
          <controlPr defaultSize="0" autoLine="0" r:id="rId7">
            <anchor moveWithCells="1">
              <from>
                <xdr:col>1</xdr:col>
                <xdr:colOff>3714750</xdr:colOff>
                <xdr:row>25</xdr:row>
                <xdr:rowOff>9525</xdr:rowOff>
              </from>
              <to>
                <xdr:col>2</xdr:col>
                <xdr:colOff>66675</xdr:colOff>
                <xdr:row>26</xdr:row>
                <xdr:rowOff>142875</xdr:rowOff>
              </to>
            </anchor>
          </controlPr>
        </control>
      </mc:Choice>
      <mc:Fallback>
        <control shapeId="7178" r:id="rId6" name="btnVersionControl_Calculate"/>
      </mc:Fallback>
    </mc:AlternateContent>
  </controls>
  <extLst>
    <ext xmlns:x14="http://schemas.microsoft.com/office/spreadsheetml/2009/9/main" uri="{CCE6A557-97BC-4b89-ADB6-D9C93CAAB3DF}">
      <x14:dataValidations xmlns:xm="http://schemas.microsoft.com/office/excel/2006/main" count="10">
        <x14:dataValidation type="list" allowBlank="1" showInputMessage="1" showErrorMessage="1">
          <x14:formula1>
            <xm:f>DataNew!$B$11:$B$12</xm:f>
          </x14:formula1>
          <xm:sqref>C3 C10 C20:C23</xm:sqref>
        </x14:dataValidation>
        <x14:dataValidation type="list" allowBlank="1" showInputMessage="1" showErrorMessage="1">
          <x14:formula1>
            <xm:f>DataNew!$E$11:$E$13</xm:f>
          </x14:formula1>
          <xm:sqref>C4:C7</xm:sqref>
        </x14:dataValidation>
        <x14:dataValidation type="list" allowBlank="1" showInputMessage="1" showErrorMessage="1">
          <x14:formula1>
            <xm:f>DataNew!$H$11:$H$13</xm:f>
          </x14:formula1>
          <xm:sqref>C9</xm:sqref>
        </x14:dataValidation>
        <x14:dataValidation type="list" allowBlank="1" showInputMessage="1" showErrorMessage="1">
          <x14:formula1>
            <xm:f>DataNew!$K$11:$K$14</xm:f>
          </x14:formula1>
          <xm:sqref>C12</xm:sqref>
        </x14:dataValidation>
        <x14:dataValidation type="list" allowBlank="1" showInputMessage="1" showErrorMessage="1">
          <x14:formula1>
            <xm:f>DataNew!$N$11:$N$16</xm:f>
          </x14:formula1>
          <xm:sqref>C14</xm:sqref>
        </x14:dataValidation>
        <x14:dataValidation type="list" allowBlank="1" showInputMessage="1" showErrorMessage="1">
          <x14:formula1>
            <xm:f>DataNew!$Q$11:$Q$15</xm:f>
          </x14:formula1>
          <xm:sqref>C15</xm:sqref>
        </x14:dataValidation>
        <x14:dataValidation type="list" allowBlank="1" showInputMessage="1" showErrorMessage="1">
          <x14:formula1>
            <xm:f>DataNew!$T$11:$T$14</xm:f>
          </x14:formula1>
          <xm:sqref>C16</xm:sqref>
        </x14:dataValidation>
        <x14:dataValidation type="list" allowBlank="1" showInputMessage="1" showErrorMessage="1">
          <x14:formula1>
            <xm:f>DataNew!$W$11:$W$15</xm:f>
          </x14:formula1>
          <xm:sqref>C17</xm:sqref>
        </x14:dataValidation>
        <x14:dataValidation type="list" allowBlank="1" showInputMessage="1" showErrorMessage="1">
          <x14:formula1>
            <xm:f>DataNew!$Z$11:$Z$13</xm:f>
          </x14:formula1>
          <xm:sqref>C18</xm:sqref>
        </x14:dataValidation>
        <x14:dataValidation type="list" allowBlank="1" showInputMessage="1" showErrorMessage="1">
          <x14:formula1>
            <xm:f>DataNew!$AC$11:$AC$15</xm:f>
          </x14:formula1>
          <xm:sqref>C13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UnitTesting"/>
  <dimension ref="A1:G12"/>
  <sheetViews>
    <sheetView workbookViewId="0">
      <selection activeCell="C11" sqref="C11:C12"/>
    </sheetView>
  </sheetViews>
  <sheetFormatPr defaultRowHeight="15" x14ac:dyDescent="0.25"/>
  <cols>
    <col min="2" max="2" width="46.42578125" bestFit="1" customWidth="1"/>
    <col min="3" max="3" width="24.85546875" customWidth="1"/>
    <col min="4" max="4" width="44.7109375" style="6" customWidth="1"/>
    <col min="6" max="7" width="0" hidden="1" customWidth="1"/>
  </cols>
  <sheetData>
    <row r="1" spans="1:7" ht="14.45" x14ac:dyDescent="0.3">
      <c r="D1" s="4" t="s">
        <v>116</v>
      </c>
      <c r="F1" s="4" t="s">
        <v>317</v>
      </c>
      <c r="G1" s="4" t="s">
        <v>318</v>
      </c>
    </row>
    <row r="2" spans="1:7" ht="14.45" x14ac:dyDescent="0.3">
      <c r="A2" t="s">
        <v>319</v>
      </c>
      <c r="B2" s="7" t="s">
        <v>231</v>
      </c>
      <c r="C2" s="12" t="s">
        <v>2</v>
      </c>
      <c r="D2" s="21"/>
      <c r="F2">
        <v>0</v>
      </c>
      <c r="G2">
        <v>5</v>
      </c>
    </row>
    <row r="3" spans="1:7" ht="14.45" x14ac:dyDescent="0.3">
      <c r="A3" t="s">
        <v>320</v>
      </c>
      <c r="B3" s="7" t="s">
        <v>230</v>
      </c>
      <c r="C3" s="12" t="s">
        <v>1</v>
      </c>
      <c r="D3" s="21"/>
      <c r="F3">
        <v>5</v>
      </c>
      <c r="G3">
        <v>5</v>
      </c>
    </row>
    <row r="4" spans="1:7" ht="14.45" x14ac:dyDescent="0.3">
      <c r="A4" t="s">
        <v>321</v>
      </c>
      <c r="B4" s="7" t="s">
        <v>496</v>
      </c>
      <c r="C4" s="12" t="s">
        <v>2</v>
      </c>
      <c r="D4" s="21"/>
      <c r="F4">
        <v>0</v>
      </c>
      <c r="G4">
        <v>5</v>
      </c>
    </row>
    <row r="5" spans="1:7" ht="14.45" x14ac:dyDescent="0.3">
      <c r="A5" t="s">
        <v>322</v>
      </c>
      <c r="B5" s="7" t="s">
        <v>232</v>
      </c>
      <c r="C5" s="12" t="s">
        <v>1</v>
      </c>
      <c r="D5" s="21"/>
      <c r="F5">
        <v>5</v>
      </c>
      <c r="G5">
        <v>5</v>
      </c>
    </row>
    <row r="6" spans="1:7" ht="14.45" x14ac:dyDescent="0.3">
      <c r="A6" t="s">
        <v>323</v>
      </c>
      <c r="B6" s="35" t="s">
        <v>233</v>
      </c>
      <c r="C6" s="12" t="s">
        <v>128</v>
      </c>
      <c r="D6" s="21"/>
      <c r="F6">
        <v>0</v>
      </c>
      <c r="G6">
        <v>0</v>
      </c>
    </row>
    <row r="7" spans="1:7" ht="49.15" customHeight="1" x14ac:dyDescent="0.3">
      <c r="A7" t="s">
        <v>324</v>
      </c>
      <c r="B7" s="27" t="s">
        <v>357</v>
      </c>
      <c r="C7" s="7"/>
      <c r="D7" s="21"/>
      <c r="F7">
        <v>0</v>
      </c>
      <c r="G7">
        <v>5</v>
      </c>
    </row>
    <row r="8" spans="1:7" ht="49.15" customHeight="1" x14ac:dyDescent="0.3">
      <c r="A8" t="s">
        <v>325</v>
      </c>
      <c r="B8" s="27" t="s">
        <v>129</v>
      </c>
      <c r="C8" s="7"/>
      <c r="D8" s="21"/>
      <c r="F8">
        <v>2</v>
      </c>
      <c r="G8">
        <v>5</v>
      </c>
    </row>
    <row r="9" spans="1:7" ht="14.45" x14ac:dyDescent="0.3">
      <c r="B9" s="28"/>
      <c r="C9" s="28"/>
      <c r="D9" s="34"/>
    </row>
    <row r="10" spans="1:7" ht="14.45" x14ac:dyDescent="0.3">
      <c r="F10">
        <f>SUM(F2:F8)</f>
        <v>12</v>
      </c>
      <c r="G10">
        <f>SUM(G2:G8)</f>
        <v>30</v>
      </c>
    </row>
    <row r="11" spans="1:7" ht="18.75" x14ac:dyDescent="0.25">
      <c r="C11" s="134">
        <f>F11</f>
        <v>40</v>
      </c>
      <c r="F11" s="47">
        <f>(F10*G11)/G10</f>
        <v>40</v>
      </c>
      <c r="G11">
        <v>100</v>
      </c>
    </row>
    <row r="12" spans="1:7" x14ac:dyDescent="0.25">
      <c r="C12" s="134"/>
    </row>
  </sheetData>
  <dataConsolidate/>
  <mergeCells count="1">
    <mergeCell ref="C11:C12"/>
  </mergeCells>
  <pageMargins left="0.7" right="0.7" top="0.75" bottom="0.75" header="0.3" footer="0.3"/>
  <pageSetup orientation="portrait" r:id="rId1"/>
  <drawing r:id="rId2"/>
  <legacyDrawing r:id="rId3"/>
  <controls>
    <mc:AlternateContent xmlns:mc="http://schemas.openxmlformats.org/markup-compatibility/2006">
      <mc:Choice Requires="x14">
        <control shapeId="8220" r:id="rId4" name="btnUnitTesting_Calculate">
          <controlPr defaultSize="0" autoLine="0" r:id="rId5">
            <anchor moveWithCells="1">
              <from>
                <xdr:col>1</xdr:col>
                <xdr:colOff>1666875</xdr:colOff>
                <xdr:row>9</xdr:row>
                <xdr:rowOff>171450</xdr:rowOff>
              </from>
              <to>
                <xdr:col>2</xdr:col>
                <xdr:colOff>76200</xdr:colOff>
                <xdr:row>11</xdr:row>
                <xdr:rowOff>123825</xdr:rowOff>
              </to>
            </anchor>
          </controlPr>
        </control>
      </mc:Choice>
      <mc:Fallback>
        <control shapeId="8220" r:id="rId4" name="btnUnitTesting_Calculate"/>
      </mc:Fallback>
    </mc:AlternateContent>
    <mc:AlternateContent xmlns:mc="http://schemas.openxmlformats.org/markup-compatibility/2006">
      <mc:Choice Requires="x14">
        <control shapeId="8212" r:id="rId6" name="lstUnitTesting_WhereMetrics">
          <controlPr autoLine="0" linkedCell="C8" listFillRange="DataNew!$K$20:$K$26" r:id="rId7">
            <anchor moveWithCells="1" sizeWithCells="1">
              <from>
                <xdr:col>2</xdr:col>
                <xdr:colOff>9525</xdr:colOff>
                <xdr:row>7</xdr:row>
                <xdr:rowOff>19050</xdr:rowOff>
              </from>
              <to>
                <xdr:col>3</xdr:col>
                <xdr:colOff>38100</xdr:colOff>
                <xdr:row>7</xdr:row>
                <xdr:rowOff>542925</xdr:rowOff>
              </to>
            </anchor>
          </controlPr>
        </control>
      </mc:Choice>
      <mc:Fallback>
        <control shapeId="8212" r:id="rId6" name="lstUnitTesting_WhereMetrics"/>
      </mc:Fallback>
    </mc:AlternateContent>
    <mc:AlternateContent xmlns:mc="http://schemas.openxmlformats.org/markup-compatibility/2006">
      <mc:Choice Requires="x14">
        <control shapeId="8211" r:id="rId8" name="lstUnitTesting_WhatMetrics">
          <controlPr autoLine="0" linkedCell="C7" listFillRange="DataNew!$H$20:$H$26" r:id="rId9">
            <anchor moveWithCells="1" sizeWithCells="1">
              <from>
                <xdr:col>2</xdr:col>
                <xdr:colOff>9525</xdr:colOff>
                <xdr:row>6</xdr:row>
                <xdr:rowOff>9525</xdr:rowOff>
              </from>
              <to>
                <xdr:col>3</xdr:col>
                <xdr:colOff>47625</xdr:colOff>
                <xdr:row>6</xdr:row>
                <xdr:rowOff>533400</xdr:rowOff>
              </to>
            </anchor>
          </controlPr>
        </control>
      </mc:Choice>
      <mc:Fallback>
        <control shapeId="8211" r:id="rId8" name="lstUnitTesting_WhatMetric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DataNew!$B$20:$B$22</xm:f>
          </x14:formula1>
          <xm:sqref>C2:C5</xm:sqref>
        </x14:dataValidation>
        <x14:dataValidation type="list" allowBlank="1" showInputMessage="1" showErrorMessage="1">
          <x14:formula1>
            <xm:f>DataNew!$E$20:$E$25</xm:f>
          </x14:formula1>
          <xm:sqref>C6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deQualityAndAnalytics"/>
  <dimension ref="A1:H28"/>
  <sheetViews>
    <sheetView workbookViewId="0">
      <selection activeCell="C18" sqref="C18"/>
    </sheetView>
  </sheetViews>
  <sheetFormatPr defaultRowHeight="15" x14ac:dyDescent="0.25"/>
  <cols>
    <col min="2" max="2" width="55.28515625" bestFit="1" customWidth="1"/>
    <col min="3" max="3" width="24.85546875" style="1" customWidth="1"/>
    <col min="4" max="4" width="24.85546875" customWidth="1"/>
    <col min="5" max="5" width="44.7109375" style="5" customWidth="1"/>
    <col min="7" max="8" width="8.85546875" hidden="1" customWidth="1"/>
  </cols>
  <sheetData>
    <row r="1" spans="1:8" ht="14.45" x14ac:dyDescent="0.3">
      <c r="D1" s="137" t="s">
        <v>116</v>
      </c>
      <c r="E1" s="137"/>
      <c r="G1" s="4" t="s">
        <v>317</v>
      </c>
      <c r="H1" s="4" t="s">
        <v>318</v>
      </c>
    </row>
    <row r="2" spans="1:8" ht="14.45" x14ac:dyDescent="0.3">
      <c r="A2" s="28" t="s">
        <v>243</v>
      </c>
      <c r="B2" s="7"/>
      <c r="C2" s="13"/>
      <c r="D2" s="7"/>
      <c r="E2" s="27"/>
    </row>
    <row r="3" spans="1:8" ht="14.45" hidden="1" x14ac:dyDescent="0.3">
      <c r="A3" s="49" t="s">
        <v>319</v>
      </c>
      <c r="B3" s="7" t="s">
        <v>358</v>
      </c>
      <c r="C3" s="14" t="s">
        <v>2</v>
      </c>
      <c r="D3" s="138"/>
      <c r="E3" s="139"/>
      <c r="G3">
        <v>0</v>
      </c>
      <c r="H3">
        <v>0</v>
      </c>
    </row>
    <row r="4" spans="1:8" ht="28.9" x14ac:dyDescent="0.3">
      <c r="A4" s="49" t="s">
        <v>320</v>
      </c>
      <c r="B4" s="7" t="s">
        <v>239</v>
      </c>
      <c r="C4" s="14" t="s">
        <v>241</v>
      </c>
      <c r="D4" s="138"/>
      <c r="E4" s="139"/>
      <c r="G4">
        <v>0</v>
      </c>
      <c r="H4">
        <v>5</v>
      </c>
    </row>
    <row r="5" spans="1:8" ht="28.9" x14ac:dyDescent="0.3">
      <c r="A5" s="50" t="s">
        <v>321</v>
      </c>
      <c r="B5" s="13" t="s">
        <v>359</v>
      </c>
      <c r="C5" s="14" t="s">
        <v>1</v>
      </c>
      <c r="D5" s="138"/>
      <c r="E5" s="139"/>
      <c r="G5">
        <v>5</v>
      </c>
      <c r="H5">
        <v>5</v>
      </c>
    </row>
    <row r="6" spans="1:8" ht="14.45" x14ac:dyDescent="0.3">
      <c r="A6" s="28" t="s">
        <v>244</v>
      </c>
      <c r="B6" s="7"/>
      <c r="C6" s="13"/>
      <c r="D6" s="7"/>
      <c r="E6" s="27"/>
    </row>
    <row r="7" spans="1:8" ht="28.9" x14ac:dyDescent="0.3">
      <c r="A7" s="50" t="s">
        <v>322</v>
      </c>
      <c r="B7" s="7" t="s">
        <v>246</v>
      </c>
      <c r="C7" s="14" t="s">
        <v>245</v>
      </c>
      <c r="D7" s="138"/>
      <c r="E7" s="139"/>
      <c r="G7">
        <v>0</v>
      </c>
      <c r="H7">
        <v>5</v>
      </c>
    </row>
    <row r="8" spans="1:8" ht="14.45" customHeight="1" x14ac:dyDescent="0.3">
      <c r="A8" s="50" t="s">
        <v>323</v>
      </c>
      <c r="B8" s="7" t="s">
        <v>248</v>
      </c>
      <c r="C8" s="14" t="s">
        <v>247</v>
      </c>
      <c r="D8" s="138"/>
      <c r="E8" s="139"/>
      <c r="G8">
        <v>4</v>
      </c>
      <c r="H8">
        <v>5</v>
      </c>
    </row>
    <row r="9" spans="1:8" ht="14.45" hidden="1" x14ac:dyDescent="0.3">
      <c r="A9" s="50" t="s">
        <v>324</v>
      </c>
      <c r="B9" s="7" t="s">
        <v>250</v>
      </c>
      <c r="C9" s="14" t="s">
        <v>346</v>
      </c>
      <c r="D9" s="138"/>
      <c r="E9" s="139"/>
      <c r="G9">
        <v>0</v>
      </c>
      <c r="H9">
        <v>0</v>
      </c>
    </row>
    <row r="10" spans="1:8" ht="14.45" x14ac:dyDescent="0.3">
      <c r="A10" s="50" t="s">
        <v>325</v>
      </c>
      <c r="B10" s="7" t="s">
        <v>84</v>
      </c>
      <c r="C10" s="14" t="s">
        <v>252</v>
      </c>
      <c r="D10" s="138"/>
      <c r="E10" s="139"/>
      <c r="G10">
        <v>4</v>
      </c>
      <c r="H10">
        <v>5</v>
      </c>
    </row>
    <row r="11" spans="1:8" ht="14.45" x14ac:dyDescent="0.3">
      <c r="A11" s="49"/>
      <c r="B11" s="7"/>
      <c r="C11" s="15" t="s">
        <v>81</v>
      </c>
      <c r="D11" s="15" t="s">
        <v>253</v>
      </c>
      <c r="E11" s="27"/>
    </row>
    <row r="12" spans="1:8" x14ac:dyDescent="0.25">
      <c r="A12" s="50" t="s">
        <v>342</v>
      </c>
      <c r="B12" s="136" t="s">
        <v>254</v>
      </c>
      <c r="C12" s="13" t="s">
        <v>82</v>
      </c>
      <c r="D12" s="12" t="s">
        <v>352</v>
      </c>
      <c r="E12" s="24"/>
      <c r="G12">
        <v>5</v>
      </c>
      <c r="H12">
        <v>5</v>
      </c>
    </row>
    <row r="13" spans="1:8" x14ac:dyDescent="0.25">
      <c r="A13" s="50" t="s">
        <v>343</v>
      </c>
      <c r="B13" s="136"/>
      <c r="C13" s="13" t="s">
        <v>138</v>
      </c>
      <c r="D13" s="12" t="s">
        <v>352</v>
      </c>
      <c r="E13" s="24"/>
      <c r="G13">
        <v>0</v>
      </c>
      <c r="H13">
        <v>5</v>
      </c>
    </row>
    <row r="14" spans="1:8" x14ac:dyDescent="0.25">
      <c r="A14" s="50" t="s">
        <v>344</v>
      </c>
      <c r="B14" s="136"/>
      <c r="C14" s="13" t="s">
        <v>83</v>
      </c>
      <c r="D14" s="12" t="s">
        <v>349</v>
      </c>
      <c r="E14" s="24"/>
      <c r="G14">
        <v>5</v>
      </c>
      <c r="H14">
        <v>5</v>
      </c>
    </row>
    <row r="15" spans="1:8" x14ac:dyDescent="0.25">
      <c r="A15" s="50" t="s">
        <v>345</v>
      </c>
      <c r="B15" s="136"/>
      <c r="C15" s="13" t="s">
        <v>41</v>
      </c>
      <c r="D15" s="12" t="s">
        <v>464</v>
      </c>
      <c r="E15" s="24"/>
      <c r="G15">
        <v>0</v>
      </c>
      <c r="H15">
        <v>5</v>
      </c>
    </row>
    <row r="16" spans="1:8" ht="14.45" x14ac:dyDescent="0.3">
      <c r="A16" s="28" t="s">
        <v>255</v>
      </c>
      <c r="B16" s="7"/>
      <c r="C16" s="13"/>
      <c r="D16" s="7"/>
      <c r="E16" s="27"/>
    </row>
    <row r="17" spans="1:8" x14ac:dyDescent="0.25">
      <c r="A17" s="50" t="s">
        <v>327</v>
      </c>
      <c r="B17" s="7" t="s">
        <v>256</v>
      </c>
      <c r="C17" s="14" t="s">
        <v>2</v>
      </c>
      <c r="D17" s="138"/>
      <c r="E17" s="139"/>
      <c r="G17">
        <v>0</v>
      </c>
      <c r="H17">
        <v>5</v>
      </c>
    </row>
    <row r="18" spans="1:8" ht="30" x14ac:dyDescent="0.25">
      <c r="A18" s="50" t="s">
        <v>328</v>
      </c>
      <c r="B18" s="7" t="s">
        <v>257</v>
      </c>
      <c r="C18" s="14" t="s">
        <v>259</v>
      </c>
      <c r="D18" s="138"/>
      <c r="E18" s="139"/>
      <c r="G18">
        <v>0</v>
      </c>
      <c r="H18">
        <v>0</v>
      </c>
    </row>
    <row r="19" spans="1:8" x14ac:dyDescent="0.25">
      <c r="A19" s="50" t="s">
        <v>329</v>
      </c>
      <c r="B19" s="7" t="s">
        <v>262</v>
      </c>
      <c r="C19" s="14" t="s">
        <v>2</v>
      </c>
      <c r="D19" s="138"/>
      <c r="E19" s="139"/>
      <c r="G19">
        <v>0</v>
      </c>
      <c r="H19">
        <v>5</v>
      </c>
    </row>
    <row r="20" spans="1:8" ht="49.15" customHeight="1" x14ac:dyDescent="0.25">
      <c r="A20" s="50" t="s">
        <v>330</v>
      </c>
      <c r="B20" s="27" t="s">
        <v>264</v>
      </c>
      <c r="C20" s="13"/>
      <c r="D20" s="138"/>
      <c r="E20" s="139"/>
      <c r="G20">
        <v>2</v>
      </c>
      <c r="H20">
        <v>5</v>
      </c>
    </row>
    <row r="21" spans="1:8" ht="30" x14ac:dyDescent="0.25">
      <c r="A21" s="50" t="s">
        <v>331</v>
      </c>
      <c r="B21" s="7" t="s">
        <v>265</v>
      </c>
      <c r="C21" s="14" t="s">
        <v>87</v>
      </c>
      <c r="D21" s="138"/>
      <c r="E21" s="139"/>
      <c r="G21">
        <v>2</v>
      </c>
      <c r="H21">
        <v>5</v>
      </c>
    </row>
    <row r="22" spans="1:8" x14ac:dyDescent="0.25">
      <c r="A22" s="28" t="s">
        <v>266</v>
      </c>
      <c r="B22" s="7"/>
      <c r="C22" s="13"/>
      <c r="D22" s="7"/>
      <c r="E22" s="27"/>
    </row>
    <row r="23" spans="1:8" ht="49.15" customHeight="1" x14ac:dyDescent="0.25">
      <c r="A23" s="50" t="s">
        <v>332</v>
      </c>
      <c r="B23" s="27" t="s">
        <v>497</v>
      </c>
      <c r="C23" s="13"/>
      <c r="D23" s="138"/>
      <c r="E23" s="139"/>
      <c r="G23">
        <v>2</v>
      </c>
      <c r="H23">
        <v>5</v>
      </c>
    </row>
    <row r="24" spans="1:8" ht="49.15" customHeight="1" x14ac:dyDescent="0.25">
      <c r="A24" s="50" t="s">
        <v>333</v>
      </c>
      <c r="B24" s="27" t="s">
        <v>270</v>
      </c>
      <c r="C24" s="13"/>
      <c r="D24" s="138"/>
      <c r="E24" s="139"/>
      <c r="G24">
        <v>2</v>
      </c>
      <c r="H24">
        <v>5</v>
      </c>
    </row>
    <row r="26" spans="1:8" x14ac:dyDescent="0.25">
      <c r="G26">
        <f>SUM(G3:G24)</f>
        <v>31</v>
      </c>
      <c r="H26">
        <f>SUM(H3:H24)</f>
        <v>75</v>
      </c>
    </row>
    <row r="27" spans="1:8" x14ac:dyDescent="0.25">
      <c r="C27" s="134">
        <f>G27</f>
        <v>41.333333333333336</v>
      </c>
      <c r="G27">
        <f>(G26*H27)/H26</f>
        <v>41.333333333333336</v>
      </c>
      <c r="H27">
        <v>100</v>
      </c>
    </row>
    <row r="28" spans="1:8" x14ac:dyDescent="0.25">
      <c r="C28" s="134"/>
    </row>
  </sheetData>
  <dataConsolidate/>
  <mergeCells count="17">
    <mergeCell ref="D10:E10"/>
    <mergeCell ref="B12:B15"/>
    <mergeCell ref="D1:E1"/>
    <mergeCell ref="C27:C28"/>
    <mergeCell ref="D23:E23"/>
    <mergeCell ref="D24:E24"/>
    <mergeCell ref="D20:E20"/>
    <mergeCell ref="D21:E21"/>
    <mergeCell ref="D17:E17"/>
    <mergeCell ref="D18:E18"/>
    <mergeCell ref="D19:E19"/>
    <mergeCell ref="D3:E3"/>
    <mergeCell ref="D4:E4"/>
    <mergeCell ref="D5:E5"/>
    <mergeCell ref="D7:E7"/>
    <mergeCell ref="D8:E8"/>
    <mergeCell ref="D9:E9"/>
  </mergeCells>
  <pageMargins left="0.7" right="0.7" top="0.75" bottom="0.75" header="0.3" footer="0.3"/>
  <pageSetup orientation="portrait" r:id="rId1"/>
  <drawing r:id="rId2"/>
  <legacyDrawing r:id="rId3"/>
  <controls>
    <mc:AlternateContent xmlns:mc="http://schemas.openxmlformats.org/markup-compatibility/2006">
      <mc:Choice Requires="x14">
        <control shapeId="9244" r:id="rId4" name="ListBox10">
          <controlPr autoLine="0" linkedCell="C24" listFillRange="DataNew!$AX$31:$AX$37" r:id="rId5">
            <anchor moveWithCells="1" sizeWithCells="1">
              <from>
                <xdr:col>2</xdr:col>
                <xdr:colOff>19050</xdr:colOff>
                <xdr:row>23</xdr:row>
                <xdr:rowOff>19050</xdr:rowOff>
              </from>
              <to>
                <xdr:col>3</xdr:col>
                <xdr:colOff>47625</xdr:colOff>
                <xdr:row>23</xdr:row>
                <xdr:rowOff>542925</xdr:rowOff>
              </to>
            </anchor>
          </controlPr>
        </control>
      </mc:Choice>
      <mc:Fallback>
        <control shapeId="9244" r:id="rId4" name="ListBox10"/>
      </mc:Fallback>
    </mc:AlternateContent>
    <mc:AlternateContent xmlns:mc="http://schemas.openxmlformats.org/markup-compatibility/2006">
      <mc:Choice Requires="x14">
        <control shapeId="9243" r:id="rId6" name="ListBox9">
          <controlPr autoLine="0" linkedCell="C23" listFillRange="DataNew!$AU$31:$AU$37" r:id="rId7">
            <anchor moveWithCells="1" sizeWithCells="1">
              <from>
                <xdr:col>2</xdr:col>
                <xdr:colOff>19050</xdr:colOff>
                <xdr:row>22</xdr:row>
                <xdr:rowOff>19050</xdr:rowOff>
              </from>
              <to>
                <xdr:col>3</xdr:col>
                <xdr:colOff>47625</xdr:colOff>
                <xdr:row>22</xdr:row>
                <xdr:rowOff>542925</xdr:rowOff>
              </to>
            </anchor>
          </controlPr>
        </control>
      </mc:Choice>
      <mc:Fallback>
        <control shapeId="9243" r:id="rId6" name="ListBox9"/>
      </mc:Fallback>
    </mc:AlternateContent>
    <mc:AlternateContent xmlns:mc="http://schemas.openxmlformats.org/markup-compatibility/2006">
      <mc:Choice Requires="x14">
        <control shapeId="9241" r:id="rId8" name="ListBox8">
          <controlPr autoLine="0" linkedCell="C20" listFillRange="DataNew!$AO$31:$AO$36" r:id="rId9">
            <anchor moveWithCells="1" sizeWithCells="1">
              <from>
                <xdr:col>2</xdr:col>
                <xdr:colOff>19050</xdr:colOff>
                <xdr:row>19</xdr:row>
                <xdr:rowOff>19050</xdr:rowOff>
              </from>
              <to>
                <xdr:col>3</xdr:col>
                <xdr:colOff>47625</xdr:colOff>
                <xdr:row>19</xdr:row>
                <xdr:rowOff>542925</xdr:rowOff>
              </to>
            </anchor>
          </controlPr>
        </control>
      </mc:Choice>
      <mc:Fallback>
        <control shapeId="9241" r:id="rId8" name="ListBox8"/>
      </mc:Fallback>
    </mc:AlternateContent>
    <mc:AlternateContent xmlns:mc="http://schemas.openxmlformats.org/markup-compatibility/2006">
      <mc:Choice Requires="x14">
        <control shapeId="9217" r:id="rId10" name="ListBox1">
          <controlPr autoLine="0" linkedCell="#REF!" listFillRange="#REF!" r:id="rId11">
            <anchor moveWithCells="1" sizeWithCells="1">
              <from>
                <xdr:col>2</xdr:col>
                <xdr:colOff>9525</xdr:colOff>
                <xdr:row>0</xdr:row>
                <xdr:rowOff>171450</xdr:rowOff>
              </from>
              <to>
                <xdr:col>2</xdr:col>
                <xdr:colOff>1695450</xdr:colOff>
                <xdr:row>1</xdr:row>
                <xdr:rowOff>0</xdr:rowOff>
              </to>
            </anchor>
          </controlPr>
        </control>
      </mc:Choice>
      <mc:Fallback>
        <control shapeId="9217" r:id="rId10" name="ListBox1"/>
      </mc:Fallback>
    </mc:AlternateContent>
    <mc:AlternateContent xmlns:mc="http://schemas.openxmlformats.org/markup-compatibility/2006">
      <mc:Choice Requires="x14">
        <control shapeId="9245" r:id="rId12" name="CommandButton1">
          <controlPr defaultSize="0" autoLine="0" r:id="rId13">
            <anchor moveWithCells="1">
              <from>
                <xdr:col>1</xdr:col>
                <xdr:colOff>2266950</xdr:colOff>
                <xdr:row>26</xdr:row>
                <xdr:rowOff>9525</xdr:rowOff>
              </from>
              <to>
                <xdr:col>2</xdr:col>
                <xdr:colOff>85725</xdr:colOff>
                <xdr:row>28</xdr:row>
                <xdr:rowOff>0</xdr:rowOff>
              </to>
            </anchor>
          </controlPr>
        </control>
      </mc:Choice>
      <mc:Fallback>
        <control shapeId="9245" r:id="rId12" name="CommandButton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14:formula1>
            <xm:f>DataNew!$B$31:$B$32</xm:f>
          </x14:formula1>
          <xm:sqref>C19</xm:sqref>
        </x14:dataValidation>
        <x14:dataValidation type="list" allowBlank="1" showInputMessage="1" showErrorMessage="1">
          <x14:formula1>
            <xm:f>DataNew!$B$31:$B$32</xm:f>
          </x14:formula1>
          <xm:sqref>C3</xm:sqref>
        </x14:dataValidation>
        <x14:dataValidation type="list" allowBlank="1" showInputMessage="1" showErrorMessage="1">
          <x14:formula1>
            <xm:f>DataNew!$E$31:$E$33</xm:f>
          </x14:formula1>
          <xm:sqref>C4</xm:sqref>
        </x14:dataValidation>
        <x14:dataValidation type="list" allowBlank="1" showInputMessage="1" showErrorMessage="1">
          <x14:formula1>
            <xm:f>DataNew!$H$31:$H$33</xm:f>
          </x14:formula1>
          <xm:sqref>C5</xm:sqref>
        </x14:dataValidation>
        <x14:dataValidation type="list" allowBlank="1" showInputMessage="1" showErrorMessage="1">
          <x14:formula1>
            <xm:f>DataNew!$K$31:$K$33</xm:f>
          </x14:formula1>
          <xm:sqref>C7</xm:sqref>
        </x14:dataValidation>
        <x14:dataValidation type="list" allowBlank="1" showInputMessage="1" showErrorMessage="1">
          <x14:formula1>
            <xm:f>DataNew!$Q$31:$Q$37</xm:f>
          </x14:formula1>
          <xm:sqref>C9</xm:sqref>
        </x14:dataValidation>
        <x14:dataValidation type="list" allowBlank="1" showInputMessage="1" showErrorMessage="1">
          <x14:formula1>
            <xm:f>DataNew!$T$31:$T$36</xm:f>
          </x14:formula1>
          <xm:sqref>C10</xm:sqref>
        </x14:dataValidation>
        <x14:dataValidation type="list" allowBlank="1" showInputMessage="1" showErrorMessage="1" errorTitle="Rating?" error="Please input rating" promptTitle="Rating" prompt="Please input rating">
          <x14:formula1>
            <xm:f>DataNew!$W$31:$W$36</xm:f>
          </x14:formula1>
          <xm:sqref>D12</xm:sqref>
        </x14:dataValidation>
        <x14:dataValidation type="list" allowBlank="1" showInputMessage="1" showErrorMessage="1">
          <x14:formula1>
            <xm:f>DataNew!$N$31:$N$36</xm:f>
          </x14:formula1>
          <xm:sqref>C8</xm:sqref>
        </x14:dataValidation>
        <x14:dataValidation type="list" allowBlank="1" showInputMessage="1" showErrorMessage="1">
          <x14:formula1>
            <xm:f>DataNew!$AI$31:$AI$32</xm:f>
          </x14:formula1>
          <xm:sqref>C17</xm:sqref>
        </x14:dataValidation>
        <x14:dataValidation type="list" allowBlank="1" showInputMessage="1" showErrorMessage="1">
          <x14:formula1>
            <xm:f>DataNew!$AL$31:$AL$34</xm:f>
          </x14:formula1>
          <xm:sqref>C18</xm:sqref>
        </x14:dataValidation>
        <x14:dataValidation type="list" allowBlank="1" showInputMessage="1" showErrorMessage="1">
          <x14:formula1>
            <xm:f>DataNew!$AR$31:$AR$37</xm:f>
          </x14:formula1>
          <xm:sqref>C21</xm:sqref>
        </x14:dataValidation>
        <x14:dataValidation type="list" allowBlank="1" showInputMessage="1" showErrorMessage="1" errorTitle="Rating?" error="Please input rating" promptTitle="Rating" prompt="Please input rating">
          <x14:formula1>
            <xm:f>DataNew!$Z$31:$Z$36</xm:f>
          </x14:formula1>
          <xm:sqref>D13</xm:sqref>
        </x14:dataValidation>
        <x14:dataValidation type="list" allowBlank="1" showInputMessage="1" showErrorMessage="1" errorTitle="Rating?" error="Please input rating" promptTitle="Rating" prompt="Please input rating">
          <x14:formula1>
            <xm:f>DataNew!$AC$31:$AC$36</xm:f>
          </x14:formula1>
          <xm:sqref>D14</xm:sqref>
        </x14:dataValidation>
        <x14:dataValidation type="list" allowBlank="1" showInputMessage="1" showErrorMessage="1" errorTitle="Rating?" error="Please input rating" promptTitle="Rating" prompt="Please input rating">
          <x14:formula1>
            <xm:f>DataNew!$AF$31:$AF$36</xm:f>
          </x14:formula1>
          <xm:sqref>D15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ckaging"/>
  <dimension ref="A1:G11"/>
  <sheetViews>
    <sheetView workbookViewId="0">
      <selection activeCell="B18" sqref="B18"/>
    </sheetView>
  </sheetViews>
  <sheetFormatPr defaultRowHeight="15" x14ac:dyDescent="0.25"/>
  <cols>
    <col min="2" max="2" width="72.7109375" bestFit="1" customWidth="1"/>
    <col min="3" max="3" width="24.85546875" customWidth="1"/>
    <col min="4" max="4" width="44.7109375" style="5" customWidth="1"/>
    <col min="6" max="7" width="0" hidden="1" customWidth="1"/>
  </cols>
  <sheetData>
    <row r="1" spans="1:7" ht="14.45" x14ac:dyDescent="0.3">
      <c r="D1" s="4" t="s">
        <v>116</v>
      </c>
      <c r="F1" s="4" t="s">
        <v>317</v>
      </c>
      <c r="G1" s="4" t="s">
        <v>318</v>
      </c>
    </row>
    <row r="2" spans="1:7" ht="14.45" x14ac:dyDescent="0.3">
      <c r="A2" t="s">
        <v>319</v>
      </c>
      <c r="B2" s="7" t="s">
        <v>360</v>
      </c>
      <c r="C2" s="12" t="s">
        <v>1</v>
      </c>
      <c r="D2" s="24"/>
      <c r="F2">
        <v>5</v>
      </c>
      <c r="G2">
        <v>5</v>
      </c>
    </row>
    <row r="3" spans="1:7" ht="14.45" x14ac:dyDescent="0.3">
      <c r="A3" t="s">
        <v>320</v>
      </c>
      <c r="B3" s="7" t="s">
        <v>140</v>
      </c>
      <c r="C3" s="12" t="s">
        <v>1</v>
      </c>
      <c r="D3" s="24"/>
      <c r="F3">
        <v>5</v>
      </c>
      <c r="G3">
        <v>5</v>
      </c>
    </row>
    <row r="4" spans="1:7" ht="14.45" x14ac:dyDescent="0.3">
      <c r="A4" t="s">
        <v>321</v>
      </c>
      <c r="B4" s="7" t="s">
        <v>271</v>
      </c>
      <c r="C4" s="12" t="s">
        <v>468</v>
      </c>
      <c r="D4" s="24"/>
      <c r="F4">
        <v>5</v>
      </c>
      <c r="G4">
        <v>5</v>
      </c>
    </row>
    <row r="5" spans="1:7" ht="14.45" x14ac:dyDescent="0.3">
      <c r="A5" t="s">
        <v>322</v>
      </c>
      <c r="B5" s="7" t="s">
        <v>272</v>
      </c>
      <c r="C5" s="37" t="s">
        <v>273</v>
      </c>
      <c r="D5" s="24"/>
      <c r="F5">
        <v>5</v>
      </c>
      <c r="G5">
        <v>5</v>
      </c>
    </row>
    <row r="6" spans="1:7" ht="28.9" x14ac:dyDescent="0.3">
      <c r="A6" t="s">
        <v>323</v>
      </c>
      <c r="B6" s="38" t="s">
        <v>361</v>
      </c>
      <c r="C6" s="12" t="s">
        <v>275</v>
      </c>
      <c r="D6" s="24"/>
      <c r="F6">
        <v>5</v>
      </c>
      <c r="G6">
        <v>5</v>
      </c>
    </row>
    <row r="7" spans="1:7" ht="14.45" x14ac:dyDescent="0.3">
      <c r="A7" t="s">
        <v>324</v>
      </c>
      <c r="B7" s="7" t="s">
        <v>4</v>
      </c>
      <c r="C7" s="12" t="s">
        <v>6</v>
      </c>
      <c r="D7" s="24"/>
      <c r="F7">
        <v>2</v>
      </c>
      <c r="G7">
        <v>5</v>
      </c>
    </row>
    <row r="9" spans="1:7" ht="14.45" x14ac:dyDescent="0.3">
      <c r="F9">
        <f>SUM(F2:F7)</f>
        <v>27</v>
      </c>
      <c r="G9">
        <f>SUM(G2:G7)</f>
        <v>30</v>
      </c>
    </row>
    <row r="10" spans="1:7" x14ac:dyDescent="0.25">
      <c r="C10" s="134">
        <f>F10</f>
        <v>90</v>
      </c>
      <c r="F10">
        <f>(F9*G10)/G9</f>
        <v>90</v>
      </c>
      <c r="G10">
        <v>100</v>
      </c>
    </row>
    <row r="11" spans="1:7" x14ac:dyDescent="0.25">
      <c r="C11" s="134"/>
    </row>
  </sheetData>
  <mergeCells count="1">
    <mergeCell ref="C10:C11"/>
  </mergeCell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btnPackaging_Calculate">
          <controlPr defaultSize="0" autoLine="0" r:id="rId5">
            <anchor moveWithCells="1">
              <from>
                <xdr:col>1</xdr:col>
                <xdr:colOff>3448050</xdr:colOff>
                <xdr:row>8</xdr:row>
                <xdr:rowOff>171450</xdr:rowOff>
              </from>
              <to>
                <xdr:col>2</xdr:col>
                <xdr:colOff>104775</xdr:colOff>
                <xdr:row>10</xdr:row>
                <xdr:rowOff>171450</xdr:rowOff>
              </to>
            </anchor>
          </controlPr>
        </control>
      </mc:Choice>
      <mc:Fallback>
        <control shapeId="23555" r:id="rId4" name="btnPackaging_Calcul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DataNew!$B$40:$B$41</xm:f>
          </x14:formula1>
          <xm:sqref>C2</xm:sqref>
        </x14:dataValidation>
        <x14:dataValidation type="list" allowBlank="1" showInputMessage="1" showErrorMessage="1">
          <x14:formula1>
            <xm:f>DataNew!$E$40:$E$42</xm:f>
          </x14:formula1>
          <xm:sqref>C3</xm:sqref>
        </x14:dataValidation>
        <x14:dataValidation type="list" allowBlank="1" showInputMessage="1" showErrorMessage="1">
          <x14:formula1>
            <xm:f>DataNew!$N$40:$N$44</xm:f>
          </x14:formula1>
          <xm:sqref>C6</xm:sqref>
        </x14:dataValidation>
        <x14:dataValidation type="list" allowBlank="1" showInputMessage="1" showErrorMessage="1">
          <x14:formula1>
            <xm:f>DataNew!$K$40:$K$43</xm:f>
          </x14:formula1>
          <xm:sqref>C5</xm:sqref>
        </x14:dataValidation>
        <x14:dataValidation type="list" allowBlank="1" showInputMessage="1" showErrorMessage="1">
          <x14:formula1>
            <xm:f>DataNew!$Q$40:$Q$43</xm:f>
          </x14:formula1>
          <xm:sqref>C7</xm:sqref>
        </x14:dataValidation>
        <x14:dataValidation type="list" allowBlank="1" showInputMessage="1" showErrorMessage="1">
          <x14:formula1>
            <xm:f>DataNew!$H$40:$H$43</xm:f>
          </x14:formula1>
          <xm:sqref>C4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ild"/>
  <dimension ref="A1:G18"/>
  <sheetViews>
    <sheetView workbookViewId="0">
      <selection activeCell="I18" sqref="I18"/>
    </sheetView>
  </sheetViews>
  <sheetFormatPr defaultRowHeight="15" x14ac:dyDescent="0.25"/>
  <cols>
    <col min="2" max="2" width="61" bestFit="1" customWidth="1"/>
    <col min="3" max="3" width="24.85546875" customWidth="1"/>
    <col min="4" max="4" width="44.7109375" style="5" customWidth="1"/>
    <col min="6" max="7" width="8.85546875" customWidth="1"/>
  </cols>
  <sheetData>
    <row r="1" spans="1:7" ht="14.45" x14ac:dyDescent="0.3">
      <c r="D1" s="4" t="s">
        <v>116</v>
      </c>
      <c r="F1" s="4" t="s">
        <v>317</v>
      </c>
      <c r="G1" s="4" t="s">
        <v>318</v>
      </c>
    </row>
    <row r="2" spans="1:7" ht="14.45" x14ac:dyDescent="0.3">
      <c r="A2" s="51" t="s">
        <v>319</v>
      </c>
      <c r="B2" s="7" t="s">
        <v>279</v>
      </c>
      <c r="C2" s="12" t="s">
        <v>2</v>
      </c>
      <c r="D2" s="24"/>
      <c r="F2">
        <v>0</v>
      </c>
      <c r="G2">
        <v>5</v>
      </c>
    </row>
    <row r="3" spans="1:7" ht="14.45" x14ac:dyDescent="0.3">
      <c r="A3" s="51" t="s">
        <v>320</v>
      </c>
      <c r="B3" s="7" t="s">
        <v>142</v>
      </c>
      <c r="C3" s="12" t="s">
        <v>1</v>
      </c>
      <c r="D3" s="24"/>
      <c r="F3">
        <v>5</v>
      </c>
      <c r="G3">
        <v>5</v>
      </c>
    </row>
    <row r="4" spans="1:7" ht="14.45" x14ac:dyDescent="0.3">
      <c r="A4" s="51" t="s">
        <v>321</v>
      </c>
      <c r="B4" s="7" t="s">
        <v>141</v>
      </c>
      <c r="C4" s="12" t="s">
        <v>8</v>
      </c>
      <c r="D4" s="24"/>
      <c r="F4">
        <v>5</v>
      </c>
      <c r="G4">
        <v>5</v>
      </c>
    </row>
    <row r="5" spans="1:7" ht="14.45" x14ac:dyDescent="0.3">
      <c r="A5" s="51" t="s">
        <v>322</v>
      </c>
      <c r="B5" s="7" t="s">
        <v>144</v>
      </c>
      <c r="C5" s="12" t="s">
        <v>2</v>
      </c>
      <c r="D5" s="24"/>
      <c r="F5">
        <v>0</v>
      </c>
      <c r="G5">
        <v>5</v>
      </c>
    </row>
    <row r="6" spans="1:7" ht="28.9" x14ac:dyDescent="0.3">
      <c r="A6" s="51" t="s">
        <v>323</v>
      </c>
      <c r="B6" s="38" t="s">
        <v>280</v>
      </c>
      <c r="C6" s="12" t="s">
        <v>1</v>
      </c>
      <c r="D6" s="24"/>
      <c r="F6">
        <v>5</v>
      </c>
      <c r="G6">
        <v>5</v>
      </c>
    </row>
    <row r="7" spans="1:7" ht="28.9" x14ac:dyDescent="0.3">
      <c r="A7" s="51" t="s">
        <v>324</v>
      </c>
      <c r="B7" s="38" t="s">
        <v>281</v>
      </c>
      <c r="C7" s="12" t="s">
        <v>1</v>
      </c>
      <c r="D7" s="24"/>
      <c r="F7">
        <v>5</v>
      </c>
      <c r="G7">
        <v>5</v>
      </c>
    </row>
    <row r="8" spans="1:7" ht="14.45" hidden="1" x14ac:dyDescent="0.3">
      <c r="A8" s="51" t="s">
        <v>325</v>
      </c>
      <c r="B8" s="7" t="s">
        <v>64</v>
      </c>
      <c r="C8" s="12" t="s">
        <v>1</v>
      </c>
      <c r="D8" s="24"/>
      <c r="F8">
        <v>0</v>
      </c>
      <c r="G8">
        <v>0</v>
      </c>
    </row>
    <row r="9" spans="1:7" ht="28.9" hidden="1" x14ac:dyDescent="0.3">
      <c r="A9" s="51" t="s">
        <v>326</v>
      </c>
      <c r="B9" s="13" t="s">
        <v>356</v>
      </c>
      <c r="C9" s="12" t="s">
        <v>2</v>
      </c>
      <c r="D9" s="24"/>
      <c r="F9">
        <v>0</v>
      </c>
      <c r="G9">
        <v>0</v>
      </c>
    </row>
    <row r="11" spans="1:7" ht="14.45" x14ac:dyDescent="0.3">
      <c r="F11">
        <f>SUM(F2:F9)</f>
        <v>20</v>
      </c>
      <c r="G11">
        <f>SUM(G2:G9)</f>
        <v>30</v>
      </c>
    </row>
    <row r="12" spans="1:7" x14ac:dyDescent="0.25">
      <c r="C12" s="134">
        <f>F12</f>
        <v>66.666666666666671</v>
      </c>
      <c r="F12">
        <f>(F11*G12)/G11</f>
        <v>66.666666666666671</v>
      </c>
      <c r="G12">
        <v>100</v>
      </c>
    </row>
    <row r="13" spans="1:7" x14ac:dyDescent="0.25">
      <c r="C13" s="134"/>
    </row>
    <row r="15" spans="1:7" ht="120" x14ac:dyDescent="0.25">
      <c r="B15" t="s">
        <v>515</v>
      </c>
      <c r="C15" s="1" t="s">
        <v>516</v>
      </c>
    </row>
    <row r="16" spans="1:7" ht="375" x14ac:dyDescent="0.25">
      <c r="B16" t="s">
        <v>517</v>
      </c>
      <c r="C16" s="1" t="s">
        <v>518</v>
      </c>
    </row>
    <row r="17" spans="2:3" ht="225" x14ac:dyDescent="0.25">
      <c r="B17" t="s">
        <v>519</v>
      </c>
      <c r="C17" s="1" t="s">
        <v>520</v>
      </c>
    </row>
    <row r="18" spans="2:3" ht="240" x14ac:dyDescent="0.25">
      <c r="B18" t="s">
        <v>521</v>
      </c>
      <c r="C18" s="1" t="s">
        <v>522</v>
      </c>
    </row>
  </sheetData>
  <mergeCells count="1">
    <mergeCell ref="C12:C13"/>
  </mergeCells>
  <pageMargins left="0.7" right="0.7" top="0.75" bottom="0.75" header="0.3" footer="0.3"/>
  <drawing r:id="rId1"/>
  <legacyDrawing r:id="rId2"/>
  <controls>
    <mc:AlternateContent xmlns:mc="http://schemas.openxmlformats.org/markup-compatibility/2006">
      <mc:Choice Requires="x14">
        <control shapeId="24577" r:id="rId3" name="btnBuild_Calculate">
          <controlPr defaultSize="0" autoLine="0" r:id="rId4">
            <anchor moveWithCells="1">
              <from>
                <xdr:col>1</xdr:col>
                <xdr:colOff>2657475</xdr:colOff>
                <xdr:row>11</xdr:row>
                <xdr:rowOff>0</xdr:rowOff>
              </from>
              <to>
                <xdr:col>2</xdr:col>
                <xdr:colOff>95250</xdr:colOff>
                <xdr:row>12</xdr:row>
                <xdr:rowOff>180975</xdr:rowOff>
              </to>
            </anchor>
          </controlPr>
        </control>
      </mc:Choice>
      <mc:Fallback>
        <control shapeId="24577" r:id="rId3" name="btnBuild_Calcul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DataNew!$B$47:$B$48</xm:f>
          </x14:formula1>
          <xm:sqref>C2:C3 C5:C9</xm:sqref>
        </x14:dataValidation>
        <x14:dataValidation type="list" allowBlank="1" showInputMessage="1" showErrorMessage="1">
          <x14:formula1>
            <xm:f>DataNew!$E$47:$E$52</xm:f>
          </x14:formula1>
          <xm:sqref>C4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esting"/>
  <dimension ref="A1:G55"/>
  <sheetViews>
    <sheetView zoomScale="120" zoomScaleNormal="120" workbookViewId="0">
      <selection activeCell="E22" sqref="E22"/>
    </sheetView>
  </sheetViews>
  <sheetFormatPr defaultRowHeight="15" x14ac:dyDescent="0.25"/>
  <cols>
    <col min="1" max="1" width="8.85546875" style="5"/>
    <col min="2" max="2" width="78" style="5" bestFit="1" customWidth="1"/>
    <col min="3" max="3" width="24.85546875" style="1" customWidth="1"/>
    <col min="4" max="4" width="41.28515625" style="6" customWidth="1"/>
    <col min="6" max="7" width="0" hidden="1" customWidth="1"/>
  </cols>
  <sheetData>
    <row r="1" spans="1:7" ht="14.45" x14ac:dyDescent="0.3">
      <c r="D1" s="4" t="s">
        <v>116</v>
      </c>
      <c r="F1" s="4" t="s">
        <v>317</v>
      </c>
      <c r="G1" s="4" t="s">
        <v>318</v>
      </c>
    </row>
    <row r="2" spans="1:7" ht="14.45" x14ac:dyDescent="0.3">
      <c r="A2" s="66" t="s">
        <v>145</v>
      </c>
      <c r="B2" s="54"/>
      <c r="C2" s="59"/>
      <c r="D2" s="8"/>
    </row>
    <row r="3" spans="1:7" ht="14.45" x14ac:dyDescent="0.3">
      <c r="A3" s="62" t="s">
        <v>319</v>
      </c>
      <c r="B3" s="54" t="s">
        <v>282</v>
      </c>
      <c r="C3" s="56" t="s">
        <v>2</v>
      </c>
      <c r="D3" s="21"/>
      <c r="F3">
        <v>0</v>
      </c>
      <c r="G3">
        <v>5</v>
      </c>
    </row>
    <row r="4" spans="1:7" ht="14.45" x14ac:dyDescent="0.3">
      <c r="A4" s="62" t="s">
        <v>320</v>
      </c>
      <c r="B4" s="54" t="s">
        <v>289</v>
      </c>
      <c r="C4" s="56" t="s">
        <v>1</v>
      </c>
      <c r="D4" s="21"/>
      <c r="F4">
        <v>5</v>
      </c>
      <c r="G4">
        <v>5</v>
      </c>
    </row>
    <row r="5" spans="1:7" ht="14.45" x14ac:dyDescent="0.3">
      <c r="A5" s="62" t="s">
        <v>321</v>
      </c>
      <c r="B5" s="54" t="s">
        <v>149</v>
      </c>
      <c r="C5" s="56" t="s">
        <v>236</v>
      </c>
      <c r="D5" s="21"/>
      <c r="F5">
        <v>3</v>
      </c>
      <c r="G5">
        <v>5</v>
      </c>
    </row>
    <row r="6" spans="1:7" ht="28.9" x14ac:dyDescent="0.3">
      <c r="A6" s="62" t="s">
        <v>322</v>
      </c>
      <c r="B6" s="54" t="s">
        <v>153</v>
      </c>
      <c r="C6" s="56" t="s">
        <v>151</v>
      </c>
      <c r="D6" s="21"/>
      <c r="F6">
        <v>3</v>
      </c>
      <c r="G6">
        <v>5</v>
      </c>
    </row>
    <row r="7" spans="1:7" ht="14.45" x14ac:dyDescent="0.3">
      <c r="A7" s="62" t="s">
        <v>323</v>
      </c>
      <c r="B7" s="54" t="s">
        <v>163</v>
      </c>
      <c r="C7" s="56" t="s">
        <v>2</v>
      </c>
      <c r="D7" s="21"/>
      <c r="F7">
        <v>0</v>
      </c>
      <c r="G7">
        <v>5</v>
      </c>
    </row>
    <row r="8" spans="1:7" ht="14.45" x14ac:dyDescent="0.3">
      <c r="A8" s="62" t="s">
        <v>324</v>
      </c>
      <c r="B8" s="54" t="s">
        <v>162</v>
      </c>
      <c r="C8" s="56" t="s">
        <v>156</v>
      </c>
      <c r="D8" s="21"/>
      <c r="F8">
        <v>3</v>
      </c>
      <c r="G8">
        <v>5</v>
      </c>
    </row>
    <row r="9" spans="1:7" ht="14.45" x14ac:dyDescent="0.3">
      <c r="A9" s="62" t="s">
        <v>325</v>
      </c>
      <c r="B9" s="54" t="s">
        <v>387</v>
      </c>
      <c r="C9" s="56" t="s">
        <v>2</v>
      </c>
      <c r="D9" s="21"/>
      <c r="F9">
        <v>0</v>
      </c>
      <c r="G9">
        <v>5</v>
      </c>
    </row>
    <row r="10" spans="1:7" ht="28.9" x14ac:dyDescent="0.3">
      <c r="A10" s="62" t="s">
        <v>326</v>
      </c>
      <c r="B10" s="54" t="s">
        <v>161</v>
      </c>
      <c r="C10" s="56" t="s">
        <v>482</v>
      </c>
      <c r="D10" s="21"/>
      <c r="F10">
        <v>3</v>
      </c>
      <c r="G10">
        <v>5</v>
      </c>
    </row>
    <row r="11" spans="1:7" ht="14.45" x14ac:dyDescent="0.3">
      <c r="A11" s="62" t="s">
        <v>327</v>
      </c>
      <c r="B11" s="54" t="s">
        <v>388</v>
      </c>
      <c r="C11" s="56" t="s">
        <v>2</v>
      </c>
      <c r="D11" s="21"/>
      <c r="F11">
        <v>0</v>
      </c>
      <c r="G11">
        <v>5</v>
      </c>
    </row>
    <row r="12" spans="1:7" ht="14.45" x14ac:dyDescent="0.3">
      <c r="A12" s="62" t="s">
        <v>328</v>
      </c>
      <c r="B12" s="54" t="s">
        <v>393</v>
      </c>
      <c r="C12" s="56" t="s">
        <v>1</v>
      </c>
      <c r="D12" s="21"/>
      <c r="F12">
        <v>5</v>
      </c>
      <c r="G12">
        <v>5</v>
      </c>
    </row>
    <row r="13" spans="1:7" ht="14.45" x14ac:dyDescent="0.3">
      <c r="A13" s="62" t="s">
        <v>329</v>
      </c>
      <c r="B13" s="54" t="s">
        <v>285</v>
      </c>
      <c r="C13" s="56" t="s">
        <v>1</v>
      </c>
      <c r="D13" s="21"/>
      <c r="F13">
        <v>5</v>
      </c>
      <c r="G13">
        <v>5</v>
      </c>
    </row>
    <row r="14" spans="1:7" ht="14.45" x14ac:dyDescent="0.3">
      <c r="A14" s="66" t="s">
        <v>146</v>
      </c>
      <c r="B14" s="54"/>
      <c r="C14" s="59"/>
      <c r="D14" s="8"/>
    </row>
    <row r="15" spans="1:7" ht="14.45" x14ac:dyDescent="0.3">
      <c r="A15" s="66" t="s">
        <v>330</v>
      </c>
      <c r="B15" s="54" t="s">
        <v>288</v>
      </c>
      <c r="C15" s="56" t="s">
        <v>1</v>
      </c>
      <c r="D15" s="21"/>
      <c r="F15">
        <v>5</v>
      </c>
      <c r="G15">
        <v>5</v>
      </c>
    </row>
    <row r="16" spans="1:7" ht="14.45" x14ac:dyDescent="0.3">
      <c r="A16" s="62" t="s">
        <v>331</v>
      </c>
      <c r="B16" s="54" t="s">
        <v>290</v>
      </c>
      <c r="C16" s="56" t="s">
        <v>1</v>
      </c>
      <c r="D16" s="21"/>
      <c r="F16">
        <v>5</v>
      </c>
      <c r="G16">
        <v>5</v>
      </c>
    </row>
    <row r="17" spans="1:7" ht="14.45" x14ac:dyDescent="0.3">
      <c r="A17" s="62" t="s">
        <v>332</v>
      </c>
      <c r="B17" s="54" t="s">
        <v>164</v>
      </c>
      <c r="C17" s="56" t="s">
        <v>234</v>
      </c>
      <c r="D17" s="21"/>
      <c r="F17">
        <v>1</v>
      </c>
      <c r="G17">
        <v>5</v>
      </c>
    </row>
    <row r="18" spans="1:7" ht="14.45" x14ac:dyDescent="0.3">
      <c r="A18" s="62" t="s">
        <v>333</v>
      </c>
      <c r="B18" s="54" t="s">
        <v>165</v>
      </c>
      <c r="C18" s="56" t="s">
        <v>150</v>
      </c>
      <c r="D18" s="21"/>
      <c r="F18">
        <v>2</v>
      </c>
      <c r="G18">
        <v>5</v>
      </c>
    </row>
    <row r="19" spans="1:7" ht="14.45" x14ac:dyDescent="0.3">
      <c r="A19" s="62" t="s">
        <v>334</v>
      </c>
      <c r="B19" s="54" t="s">
        <v>166</v>
      </c>
      <c r="C19" s="56" t="s">
        <v>1</v>
      </c>
      <c r="D19" s="21"/>
      <c r="F19">
        <v>5</v>
      </c>
      <c r="G19">
        <v>5</v>
      </c>
    </row>
    <row r="20" spans="1:7" ht="28.9" x14ac:dyDescent="0.3">
      <c r="A20" s="62" t="s">
        <v>362</v>
      </c>
      <c r="B20" s="54" t="s">
        <v>286</v>
      </c>
      <c r="C20" s="56" t="s">
        <v>391</v>
      </c>
      <c r="D20" s="21"/>
      <c r="F20">
        <v>4</v>
      </c>
      <c r="G20">
        <v>5</v>
      </c>
    </row>
    <row r="21" spans="1:7" ht="14.45" x14ac:dyDescent="0.3">
      <c r="A21" s="62" t="s">
        <v>363</v>
      </c>
      <c r="B21" s="54" t="s">
        <v>392</v>
      </c>
      <c r="C21" s="56" t="s">
        <v>1</v>
      </c>
      <c r="D21" s="21"/>
      <c r="F21">
        <v>5</v>
      </c>
      <c r="G21">
        <v>5</v>
      </c>
    </row>
    <row r="22" spans="1:7" ht="30" x14ac:dyDescent="0.25">
      <c r="A22" s="62" t="s">
        <v>364</v>
      </c>
      <c r="B22" s="54" t="s">
        <v>160</v>
      </c>
      <c r="C22" s="56" t="s">
        <v>14</v>
      </c>
      <c r="D22" s="21"/>
      <c r="F22">
        <v>0</v>
      </c>
      <c r="G22">
        <v>0</v>
      </c>
    </row>
    <row r="23" spans="1:7" x14ac:dyDescent="0.25">
      <c r="A23" s="62" t="s">
        <v>365</v>
      </c>
      <c r="B23" s="54" t="s">
        <v>389</v>
      </c>
      <c r="C23" s="56" t="s">
        <v>1</v>
      </c>
      <c r="D23" s="21"/>
      <c r="F23">
        <v>5</v>
      </c>
      <c r="G23">
        <v>5</v>
      </c>
    </row>
    <row r="24" spans="1:7" x14ac:dyDescent="0.25">
      <c r="A24" s="62" t="s">
        <v>366</v>
      </c>
      <c r="B24" s="54" t="s">
        <v>394</v>
      </c>
      <c r="C24" s="56" t="s">
        <v>1</v>
      </c>
      <c r="D24" s="21"/>
      <c r="F24">
        <v>5</v>
      </c>
      <c r="G24">
        <v>5</v>
      </c>
    </row>
    <row r="25" spans="1:7" x14ac:dyDescent="0.25">
      <c r="A25" s="62" t="s">
        <v>367</v>
      </c>
      <c r="B25" s="54" t="s">
        <v>287</v>
      </c>
      <c r="C25" s="56" t="s">
        <v>1</v>
      </c>
      <c r="D25" s="21"/>
      <c r="F25">
        <v>5</v>
      </c>
      <c r="G25">
        <v>5</v>
      </c>
    </row>
    <row r="26" spans="1:7" x14ac:dyDescent="0.25">
      <c r="A26" s="66" t="s">
        <v>147</v>
      </c>
      <c r="B26" s="54"/>
      <c r="C26" s="59"/>
      <c r="D26" s="8"/>
    </row>
    <row r="27" spans="1:7" x14ac:dyDescent="0.25">
      <c r="A27" s="66" t="s">
        <v>368</v>
      </c>
      <c r="B27" s="54" t="s">
        <v>395</v>
      </c>
      <c r="C27" s="56" t="s">
        <v>2</v>
      </c>
      <c r="D27" s="21"/>
      <c r="F27">
        <v>0</v>
      </c>
      <c r="G27">
        <v>5</v>
      </c>
    </row>
    <row r="28" spans="1:7" x14ac:dyDescent="0.25">
      <c r="A28" s="62" t="s">
        <v>369</v>
      </c>
      <c r="B28" s="54" t="s">
        <v>452</v>
      </c>
      <c r="C28" s="56" t="s">
        <v>236</v>
      </c>
      <c r="D28" s="21"/>
      <c r="F28">
        <v>3</v>
      </c>
      <c r="G28">
        <v>5</v>
      </c>
    </row>
    <row r="29" spans="1:7" ht="30" x14ac:dyDescent="0.25">
      <c r="A29" s="62" t="s">
        <v>370</v>
      </c>
      <c r="B29" s="54" t="s">
        <v>453</v>
      </c>
      <c r="C29" s="56" t="s">
        <v>150</v>
      </c>
      <c r="D29" s="21"/>
      <c r="F29">
        <v>2</v>
      </c>
      <c r="G29">
        <v>5</v>
      </c>
    </row>
    <row r="30" spans="1:7" x14ac:dyDescent="0.25">
      <c r="A30" s="62" t="s">
        <v>371</v>
      </c>
      <c r="B30" s="54" t="s">
        <v>454</v>
      </c>
      <c r="C30" s="56" t="s">
        <v>1</v>
      </c>
      <c r="D30" s="21"/>
      <c r="F30">
        <v>5</v>
      </c>
      <c r="G30">
        <v>5</v>
      </c>
    </row>
    <row r="31" spans="1:7" ht="30" x14ac:dyDescent="0.25">
      <c r="A31" s="62" t="s">
        <v>372</v>
      </c>
      <c r="B31" s="54" t="s">
        <v>455</v>
      </c>
      <c r="C31" s="56" t="s">
        <v>391</v>
      </c>
      <c r="D31" s="21"/>
      <c r="F31">
        <v>4</v>
      </c>
      <c r="G31">
        <v>5</v>
      </c>
    </row>
    <row r="32" spans="1:7" x14ac:dyDescent="0.25">
      <c r="A32" s="62" t="s">
        <v>373</v>
      </c>
      <c r="B32" s="54" t="s">
        <v>456</v>
      </c>
      <c r="C32" s="56" t="s">
        <v>1</v>
      </c>
      <c r="D32" s="21"/>
      <c r="F32">
        <v>5</v>
      </c>
      <c r="G32">
        <v>5</v>
      </c>
    </row>
    <row r="33" spans="1:7" ht="30" x14ac:dyDescent="0.25">
      <c r="A33" s="62" t="s">
        <v>374</v>
      </c>
      <c r="B33" s="54" t="s">
        <v>457</v>
      </c>
      <c r="C33" s="56" t="s">
        <v>14</v>
      </c>
      <c r="D33" s="21"/>
      <c r="F33">
        <v>0</v>
      </c>
      <c r="G33">
        <v>0</v>
      </c>
    </row>
    <row r="34" spans="1:7" x14ac:dyDescent="0.25">
      <c r="A34" s="62" t="s">
        <v>375</v>
      </c>
      <c r="B34" s="54" t="s">
        <v>458</v>
      </c>
      <c r="C34" s="56" t="s">
        <v>1</v>
      </c>
      <c r="D34" s="21"/>
      <c r="F34">
        <v>5</v>
      </c>
      <c r="G34">
        <v>5</v>
      </c>
    </row>
    <row r="35" spans="1:7" x14ac:dyDescent="0.25">
      <c r="A35" s="62" t="s">
        <v>376</v>
      </c>
      <c r="B35" s="54" t="s">
        <v>459</v>
      </c>
      <c r="C35" s="56" t="s">
        <v>1</v>
      </c>
      <c r="D35" s="21"/>
      <c r="F35">
        <v>5</v>
      </c>
      <c r="G35">
        <v>5</v>
      </c>
    </row>
    <row r="36" spans="1:7" x14ac:dyDescent="0.25">
      <c r="A36" s="62" t="s">
        <v>377</v>
      </c>
      <c r="B36" s="54" t="s">
        <v>460</v>
      </c>
      <c r="C36" s="56" t="s">
        <v>1</v>
      </c>
      <c r="D36" s="21"/>
      <c r="F36">
        <v>5</v>
      </c>
      <c r="G36">
        <v>5</v>
      </c>
    </row>
    <row r="37" spans="1:7" x14ac:dyDescent="0.25">
      <c r="A37" s="66" t="s">
        <v>67</v>
      </c>
      <c r="B37" s="54"/>
      <c r="C37" s="59"/>
      <c r="D37" s="8"/>
    </row>
    <row r="38" spans="1:7" x14ac:dyDescent="0.25">
      <c r="A38" s="62" t="s">
        <v>378</v>
      </c>
      <c r="B38" s="54" t="s">
        <v>168</v>
      </c>
      <c r="C38" s="56" t="s">
        <v>469</v>
      </c>
      <c r="D38" s="24"/>
      <c r="F38">
        <v>2</v>
      </c>
      <c r="G38">
        <v>5</v>
      </c>
    </row>
    <row r="39" spans="1:7" x14ac:dyDescent="0.25">
      <c r="A39" s="62" t="s">
        <v>379</v>
      </c>
      <c r="B39" s="54" t="s">
        <v>291</v>
      </c>
      <c r="C39" s="56" t="s">
        <v>1</v>
      </c>
      <c r="D39" s="24"/>
      <c r="F39">
        <v>5</v>
      </c>
      <c r="G39">
        <v>5</v>
      </c>
    </row>
    <row r="40" spans="1:7" x14ac:dyDescent="0.25">
      <c r="A40" s="62" t="s">
        <v>380</v>
      </c>
      <c r="B40" s="54" t="s">
        <v>292</v>
      </c>
      <c r="C40" s="56" t="s">
        <v>2</v>
      </c>
      <c r="D40" s="24"/>
      <c r="F40">
        <v>0</v>
      </c>
      <c r="G40">
        <v>5</v>
      </c>
    </row>
    <row r="41" spans="1:7" x14ac:dyDescent="0.25">
      <c r="A41" s="62" t="s">
        <v>381</v>
      </c>
      <c r="B41" s="54" t="s">
        <v>293</v>
      </c>
      <c r="C41" s="56" t="s">
        <v>2</v>
      </c>
      <c r="D41" s="24"/>
      <c r="F41">
        <v>5</v>
      </c>
      <c r="G41">
        <v>5</v>
      </c>
    </row>
    <row r="42" spans="1:7" x14ac:dyDescent="0.25">
      <c r="A42" s="62" t="s">
        <v>382</v>
      </c>
      <c r="B42" s="54" t="s">
        <v>294</v>
      </c>
      <c r="C42" s="56" t="s">
        <v>2</v>
      </c>
      <c r="D42" s="24"/>
      <c r="F42">
        <v>0</v>
      </c>
      <c r="G42">
        <v>5</v>
      </c>
    </row>
    <row r="43" spans="1:7" x14ac:dyDescent="0.25">
      <c r="A43" s="62" t="s">
        <v>383</v>
      </c>
      <c r="B43" s="54" t="s">
        <v>295</v>
      </c>
      <c r="C43" s="56" t="s">
        <v>2</v>
      </c>
      <c r="D43" s="24"/>
      <c r="F43">
        <v>0</v>
      </c>
      <c r="G43">
        <v>5</v>
      </c>
    </row>
    <row r="44" spans="1:7" x14ac:dyDescent="0.25">
      <c r="A44" s="62" t="s">
        <v>384</v>
      </c>
      <c r="B44" s="54" t="s">
        <v>169</v>
      </c>
      <c r="C44" s="56" t="s">
        <v>13</v>
      </c>
      <c r="D44" s="24"/>
      <c r="F44">
        <v>2</v>
      </c>
      <c r="G44">
        <v>5</v>
      </c>
    </row>
    <row r="45" spans="1:7" x14ac:dyDescent="0.25">
      <c r="A45" s="62" t="s">
        <v>385</v>
      </c>
      <c r="B45" s="54" t="s">
        <v>397</v>
      </c>
      <c r="C45" s="56" t="s">
        <v>1</v>
      </c>
      <c r="D45" s="24"/>
      <c r="F45">
        <v>5</v>
      </c>
      <c r="G45">
        <v>5</v>
      </c>
    </row>
    <row r="46" spans="1:7" x14ac:dyDescent="0.25">
      <c r="A46" s="62" t="s">
        <v>386</v>
      </c>
      <c r="B46" s="54" t="s">
        <v>173</v>
      </c>
      <c r="C46" s="56" t="s">
        <v>484</v>
      </c>
      <c r="D46" s="24"/>
      <c r="F46">
        <v>1</v>
      </c>
      <c r="G46">
        <v>5</v>
      </c>
    </row>
    <row r="47" spans="1:7" x14ac:dyDescent="0.25">
      <c r="A47" s="66" t="s">
        <v>148</v>
      </c>
      <c r="B47" s="54"/>
      <c r="C47" s="59"/>
      <c r="D47" s="8"/>
    </row>
    <row r="48" spans="1:7" ht="60" x14ac:dyDescent="0.25">
      <c r="A48" s="62" t="s">
        <v>483</v>
      </c>
      <c r="B48" s="54" t="s">
        <v>396</v>
      </c>
      <c r="C48" s="56" t="s">
        <v>171</v>
      </c>
      <c r="D48" s="24"/>
      <c r="F48">
        <v>3</v>
      </c>
      <c r="G48">
        <v>5</v>
      </c>
    </row>
    <row r="50" spans="2:7" x14ac:dyDescent="0.25">
      <c r="C50" s="134">
        <f>F51</f>
        <v>63</v>
      </c>
      <c r="F50">
        <f>SUM(F3:F48)</f>
        <v>126</v>
      </c>
      <c r="G50">
        <f>SUM(G3:G48)</f>
        <v>200</v>
      </c>
    </row>
    <row r="51" spans="2:7" x14ac:dyDescent="0.25">
      <c r="C51" s="134"/>
      <c r="F51">
        <f>(F50*G51)/G50</f>
        <v>63</v>
      </c>
      <c r="G51">
        <v>100</v>
      </c>
    </row>
    <row r="54" spans="2:7" ht="165" x14ac:dyDescent="0.25">
      <c r="B54" s="5" t="s">
        <v>523</v>
      </c>
      <c r="C54" s="1" t="s">
        <v>524</v>
      </c>
    </row>
    <row r="55" spans="2:7" ht="90" x14ac:dyDescent="0.25">
      <c r="B55" s="5" t="s">
        <v>525</v>
      </c>
      <c r="C55" s="1" t="s">
        <v>526</v>
      </c>
    </row>
  </sheetData>
  <mergeCells count="1">
    <mergeCell ref="C50:C51"/>
  </mergeCells>
  <pageMargins left="0.7" right="0.7" top="0.75" bottom="0.75" header="0.3" footer="0.3"/>
  <pageSetup orientation="portrait" r:id="rId1"/>
  <drawing r:id="rId2"/>
  <legacyDrawing r:id="rId3"/>
  <controls>
    <mc:AlternateContent xmlns:mc="http://schemas.openxmlformats.org/markup-compatibility/2006">
      <mc:Choice Requires="x14">
        <control shapeId="39945" r:id="rId4" name="btnTesting_Calculate">
          <controlPr defaultSize="0" autoLine="0" r:id="rId5">
            <anchor moveWithCells="1">
              <from>
                <xdr:col>1</xdr:col>
                <xdr:colOff>3829050</xdr:colOff>
                <xdr:row>48</xdr:row>
                <xdr:rowOff>171450</xdr:rowOff>
              </from>
              <to>
                <xdr:col>2</xdr:col>
                <xdr:colOff>133350</xdr:colOff>
                <xdr:row>50</xdr:row>
                <xdr:rowOff>161925</xdr:rowOff>
              </to>
            </anchor>
          </controlPr>
        </control>
      </mc:Choice>
      <mc:Fallback>
        <control shapeId="39945" r:id="rId4" name="btnTesting_Calculate"/>
      </mc:Fallback>
    </mc:AlternateContent>
  </controls>
  <extLst>
    <ext xmlns:x14="http://schemas.microsoft.com/office/spreadsheetml/2009/9/main" uri="{CCE6A557-97BC-4b89-ADB6-D9C93CAAB3DF}">
      <x14:dataValidations xmlns:xm="http://schemas.microsoft.com/office/excel/2006/main" count="17">
        <x14:dataValidation type="list" allowBlank="1">
          <x14:formula1>
            <xm:f>DataNew!$E$55:$E$60</xm:f>
          </x14:formula1>
          <xm:sqref>C17</xm:sqref>
        </x14:dataValidation>
        <x14:dataValidation type="list" allowBlank="1">
          <x14:formula1>
            <xm:f>DataNew!$E$55:$E$60</xm:f>
          </x14:formula1>
          <xm:sqref>C28</xm:sqref>
        </x14:dataValidation>
        <x14:dataValidation type="list" allowBlank="1" showInputMessage="1" showErrorMessage="1">
          <x14:formula1>
            <xm:f>DataNew!$H$55:$H$59</xm:f>
          </x14:formula1>
          <xm:sqref>C18</xm:sqref>
        </x14:dataValidation>
        <x14:dataValidation type="list" allowBlank="1" showInputMessage="1" showErrorMessage="1">
          <x14:formula1>
            <xm:f>DataNew!$H$55:$H$59</xm:f>
          </x14:formula1>
          <xm:sqref>C29</xm:sqref>
        </x14:dataValidation>
        <x14:dataValidation type="list" allowBlank="1" showInputMessage="1" showErrorMessage="1">
          <x14:formula1>
            <xm:f>DataNew!$K$55:$K$62</xm:f>
          </x14:formula1>
          <xm:sqref>C20</xm:sqref>
        </x14:dataValidation>
        <x14:dataValidation type="list" allowBlank="1" showInputMessage="1" showErrorMessage="1">
          <x14:formula1>
            <xm:f>DataNew!$K$55:$K$62</xm:f>
          </x14:formula1>
          <xm:sqref>C31</xm:sqref>
        </x14:dataValidation>
        <x14:dataValidation type="list" allowBlank="1" showInputMessage="1" showErrorMessage="1">
          <x14:formula1>
            <xm:f>DataNew!$B$55:$B$56</xm:f>
          </x14:formula1>
          <xm:sqref>C3:C4 C7 C9 C11:C13 C15:C16 C19 C21 C23:C25 C27 C30 C32 C34:C36 C39:C43 C45</xm:sqref>
        </x14:dataValidation>
        <x14:dataValidation type="list" allowBlank="1">
          <x14:formula1>
            <xm:f>DataNew!$E$55:$E$60</xm:f>
          </x14:formula1>
          <xm:sqref>C5</xm:sqref>
        </x14:dataValidation>
        <x14:dataValidation type="list" allowBlank="1" showInputMessage="1" showErrorMessage="1">
          <x14:formula1>
            <xm:f>DataNew!$H$55:$H$59</xm:f>
          </x14:formula1>
          <xm:sqref>C6</xm:sqref>
        </x14:dataValidation>
        <x14:dataValidation type="list" allowBlank="1" showInputMessage="1" showErrorMessage="1">
          <x14:formula1>
            <xm:f>DataNew!$K$55:$K$62</xm:f>
          </x14:formula1>
          <xm:sqref>C8</xm:sqref>
        </x14:dataValidation>
        <x14:dataValidation type="list" allowBlank="1" showInputMessage="1" showErrorMessage="1">
          <x14:formula1>
            <xm:f>DataNew!$Q$55:$Q$57</xm:f>
          </x14:formula1>
          <xm:sqref>C38</xm:sqref>
        </x14:dataValidation>
        <x14:dataValidation type="list" allowBlank="1" showInputMessage="1" showErrorMessage="1">
          <x14:formula1>
            <xm:f>DataNew!$T$55:$T$57</xm:f>
          </x14:formula1>
          <xm:sqref>C44</xm:sqref>
        </x14:dataValidation>
        <x14:dataValidation type="list" allowBlank="1" showInputMessage="1" showErrorMessage="1">
          <x14:formula1>
            <xm:f>DataNew!$W$55:$W$62</xm:f>
          </x14:formula1>
          <xm:sqref>C46</xm:sqref>
        </x14:dataValidation>
        <x14:dataValidation type="list" allowBlank="1" showInputMessage="1" showErrorMessage="1">
          <x14:formula1>
            <xm:f>DataNew!$Z$55:$Z$59</xm:f>
          </x14:formula1>
          <xm:sqref>C48</xm:sqref>
        </x14:dataValidation>
        <x14:dataValidation type="list" allowBlank="1" showInputMessage="1" showErrorMessage="1">
          <x14:formula1>
            <xm:f>DataNew!$N$55:$N$59</xm:f>
          </x14:formula1>
          <xm:sqref>C22</xm:sqref>
        </x14:dataValidation>
        <x14:dataValidation type="list" allowBlank="1" showInputMessage="1" showErrorMessage="1">
          <x14:formula1>
            <xm:f>DataNew!$N$55:$N$59</xm:f>
          </x14:formula1>
          <xm:sqref>C33</xm:sqref>
        </x14:dataValidation>
        <x14:dataValidation type="list" allowBlank="1" showInputMessage="1" showErrorMessage="1">
          <x14:formula1>
            <xm:f>DataNew!$N$55:$N$59</xm:f>
          </x14:formula1>
          <xm:sqref>C10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UserAcceptanceTesting"/>
  <dimension ref="A1:G9"/>
  <sheetViews>
    <sheetView workbookViewId="0">
      <selection activeCell="C19" sqref="C19"/>
    </sheetView>
  </sheetViews>
  <sheetFormatPr defaultRowHeight="15" x14ac:dyDescent="0.25"/>
  <cols>
    <col min="2" max="2" width="41.28515625" style="1" bestFit="1" customWidth="1"/>
    <col min="3" max="3" width="24.85546875" style="1" customWidth="1"/>
    <col min="4" max="4" width="44.7109375" style="30" customWidth="1"/>
    <col min="6" max="7" width="0" hidden="1" customWidth="1"/>
  </cols>
  <sheetData>
    <row r="1" spans="1:7" ht="14.45" x14ac:dyDescent="0.3">
      <c r="D1" s="26" t="s">
        <v>116</v>
      </c>
      <c r="F1" s="4" t="s">
        <v>317</v>
      </c>
      <c r="G1" s="4" t="s">
        <v>318</v>
      </c>
    </row>
    <row r="2" spans="1:7" ht="14.45" x14ac:dyDescent="0.3">
      <c r="A2" s="34" t="s">
        <v>319</v>
      </c>
      <c r="B2" s="13" t="s">
        <v>189</v>
      </c>
      <c r="C2" s="14" t="s">
        <v>36</v>
      </c>
      <c r="D2" s="52"/>
      <c r="F2">
        <v>2</v>
      </c>
      <c r="G2">
        <v>5</v>
      </c>
    </row>
    <row r="3" spans="1:7" ht="28.9" x14ac:dyDescent="0.3">
      <c r="A3" s="34" t="s">
        <v>320</v>
      </c>
      <c r="B3" s="38" t="s">
        <v>296</v>
      </c>
      <c r="C3" s="14" t="s">
        <v>298</v>
      </c>
      <c r="D3" s="52"/>
      <c r="F3">
        <v>0</v>
      </c>
      <c r="G3">
        <v>5</v>
      </c>
    </row>
    <row r="4" spans="1:7" ht="28.9" x14ac:dyDescent="0.3">
      <c r="A4" s="34" t="s">
        <v>321</v>
      </c>
      <c r="B4" s="13" t="s">
        <v>188</v>
      </c>
      <c r="C4" s="14" t="s">
        <v>300</v>
      </c>
      <c r="D4" s="52"/>
      <c r="F4">
        <v>5</v>
      </c>
      <c r="G4">
        <v>5</v>
      </c>
    </row>
    <row r="5" spans="1:7" ht="14.45" x14ac:dyDescent="0.3">
      <c r="A5" s="63" t="s">
        <v>322</v>
      </c>
      <c r="B5" s="13" t="s">
        <v>187</v>
      </c>
      <c r="C5" s="14" t="s">
        <v>13</v>
      </c>
      <c r="D5" s="52"/>
      <c r="F5">
        <v>5</v>
      </c>
      <c r="G5">
        <v>5</v>
      </c>
    </row>
    <row r="6" spans="1:7" ht="28.9" x14ac:dyDescent="0.3">
      <c r="A6" s="63" t="s">
        <v>323</v>
      </c>
      <c r="B6" s="13" t="s">
        <v>398</v>
      </c>
      <c r="C6" s="14" t="s">
        <v>2</v>
      </c>
      <c r="D6" s="52"/>
      <c r="F6">
        <v>5</v>
      </c>
      <c r="G6">
        <v>5</v>
      </c>
    </row>
    <row r="8" spans="1:7" x14ac:dyDescent="0.25">
      <c r="C8" s="134">
        <f>F9</f>
        <v>68</v>
      </c>
      <c r="F8">
        <f>SUM(F2:F6)</f>
        <v>17</v>
      </c>
      <c r="G8">
        <f>SUM(G2:G6)</f>
        <v>25</v>
      </c>
    </row>
    <row r="9" spans="1:7" x14ac:dyDescent="0.25">
      <c r="C9" s="134"/>
      <c r="F9">
        <f>(F8*G9)/G8</f>
        <v>68</v>
      </c>
      <c r="G9">
        <v>100</v>
      </c>
    </row>
  </sheetData>
  <mergeCells count="1">
    <mergeCell ref="C8:C9"/>
  </mergeCells>
  <pageMargins left="0.7" right="0.7" top="0.75" bottom="0.75" header="0.3" footer="0.3"/>
  <pageSetup orientation="portrait" r:id="rId1"/>
  <drawing r:id="rId2"/>
  <legacyDrawing r:id="rId3"/>
  <controls>
    <mc:AlternateContent xmlns:mc="http://schemas.openxmlformats.org/markup-compatibility/2006">
      <mc:Choice Requires="x14">
        <control shapeId="40964" r:id="rId4" name="CommandButton1">
          <controlPr defaultSize="0" autoLine="0" r:id="rId5">
            <anchor moveWithCells="1">
              <from>
                <xdr:col>1</xdr:col>
                <xdr:colOff>1314450</xdr:colOff>
                <xdr:row>7</xdr:row>
                <xdr:rowOff>9525</xdr:rowOff>
              </from>
              <to>
                <xdr:col>2</xdr:col>
                <xdr:colOff>66675</xdr:colOff>
                <xdr:row>9</xdr:row>
                <xdr:rowOff>0</xdr:rowOff>
              </to>
            </anchor>
          </controlPr>
        </control>
      </mc:Choice>
      <mc:Fallback>
        <control shapeId="40964" r:id="rId4" name="CommandButto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DataNew!$B$65:$B$75</xm:f>
          </x14:formula1>
          <xm:sqref>C2</xm:sqref>
        </x14:dataValidation>
        <x14:dataValidation type="list" allowBlank="1" showInputMessage="1" showErrorMessage="1">
          <x14:formula1>
            <xm:f>DataNew!$E$65:$E$68</xm:f>
          </x14:formula1>
          <xm:sqref>C3</xm:sqref>
        </x14:dataValidation>
        <x14:dataValidation type="list" allowBlank="1" showInputMessage="1" showErrorMessage="1">
          <x14:formula1>
            <xm:f>DataNew!$H$65:$H$67</xm:f>
          </x14:formula1>
          <xm:sqref>C4</xm:sqref>
        </x14:dataValidation>
        <x14:dataValidation type="list" allowBlank="1" showInputMessage="1" showErrorMessage="1">
          <x14:formula1>
            <xm:f>DataNew!$K$65:$K$67</xm:f>
          </x14:formula1>
          <xm:sqref>C5</xm:sqref>
        </x14:dataValidation>
        <x14:dataValidation type="list" allowBlank="1" showInputMessage="1" showErrorMessage="1">
          <x14:formula1>
            <xm:f>DataNew!$N$65:$N$66</xm:f>
          </x14:formula1>
          <xm:sqref>C6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eploy"/>
  <dimension ref="A1:I58"/>
  <sheetViews>
    <sheetView topLeftCell="A30" workbookViewId="0">
      <selection activeCell="G62" sqref="G62"/>
    </sheetView>
  </sheetViews>
  <sheetFormatPr defaultColWidth="8.85546875" defaultRowHeight="15" x14ac:dyDescent="0.25"/>
  <cols>
    <col min="1" max="1" width="8.85546875" style="64"/>
    <col min="2" max="2" width="76.5703125" style="1" customWidth="1"/>
    <col min="3" max="3" width="8.85546875" style="1"/>
    <col min="4" max="4" width="26.140625" style="1" customWidth="1"/>
    <col min="5" max="5" width="23.5703125" style="1" customWidth="1"/>
    <col min="6" max="6" width="18.7109375" style="1" customWidth="1"/>
    <col min="7" max="7" width="8.85546875" style="1"/>
    <col min="8" max="9" width="8.85546875" style="1" customWidth="1"/>
    <col min="10" max="16384" width="8.85546875" style="1"/>
  </cols>
  <sheetData>
    <row r="1" spans="1:9" ht="14.45" x14ac:dyDescent="0.3">
      <c r="E1" s="143" t="s">
        <v>116</v>
      </c>
      <c r="F1" s="143"/>
      <c r="H1" s="4" t="s">
        <v>317</v>
      </c>
      <c r="I1" s="4" t="s">
        <v>318</v>
      </c>
    </row>
    <row r="2" spans="1:9" ht="14.45" x14ac:dyDescent="0.3">
      <c r="A2" s="65" t="s">
        <v>319</v>
      </c>
      <c r="B2" s="142" t="s">
        <v>498</v>
      </c>
      <c r="C2" s="142"/>
      <c r="D2" s="14" t="s">
        <v>1</v>
      </c>
      <c r="E2" s="140"/>
      <c r="F2" s="141"/>
      <c r="H2" s="1">
        <v>5</v>
      </c>
      <c r="I2" s="1">
        <v>5</v>
      </c>
    </row>
    <row r="3" spans="1:9" ht="14.45" x14ac:dyDescent="0.3">
      <c r="A3" s="65" t="s">
        <v>320</v>
      </c>
      <c r="B3" s="142" t="s">
        <v>499</v>
      </c>
      <c r="C3" s="142"/>
      <c r="D3" s="14" t="s">
        <v>2</v>
      </c>
      <c r="E3" s="140"/>
      <c r="F3" s="141"/>
      <c r="H3" s="1">
        <v>0</v>
      </c>
      <c r="I3" s="1">
        <v>5</v>
      </c>
    </row>
    <row r="4" spans="1:9" ht="14.45" x14ac:dyDescent="0.3">
      <c r="A4" s="65" t="s">
        <v>321</v>
      </c>
      <c r="B4" s="142" t="s">
        <v>443</v>
      </c>
      <c r="C4" s="142"/>
      <c r="D4" s="14" t="s">
        <v>1</v>
      </c>
      <c r="E4" s="140"/>
      <c r="F4" s="141"/>
      <c r="H4" s="1">
        <v>5</v>
      </c>
      <c r="I4" s="1">
        <v>5</v>
      </c>
    </row>
    <row r="5" spans="1:9" ht="14.45" x14ac:dyDescent="0.3">
      <c r="A5" s="65" t="s">
        <v>322</v>
      </c>
      <c r="B5" s="142" t="s">
        <v>444</v>
      </c>
      <c r="C5" s="142"/>
      <c r="D5" s="14" t="s">
        <v>21</v>
      </c>
      <c r="E5" s="140"/>
      <c r="F5" s="141"/>
      <c r="H5" s="1">
        <v>3</v>
      </c>
      <c r="I5" s="1">
        <v>5</v>
      </c>
    </row>
    <row r="6" spans="1:9" x14ac:dyDescent="0.25">
      <c r="A6" s="65"/>
      <c r="B6" s="142" t="s">
        <v>445</v>
      </c>
      <c r="C6" s="15" t="s">
        <v>24</v>
      </c>
      <c r="D6" s="15" t="s">
        <v>29</v>
      </c>
      <c r="E6" s="13"/>
      <c r="F6" s="13"/>
    </row>
    <row r="7" spans="1:9" x14ac:dyDescent="0.25">
      <c r="A7" s="65" t="s">
        <v>399</v>
      </c>
      <c r="B7" s="142"/>
      <c r="C7" s="13" t="s">
        <v>25</v>
      </c>
      <c r="D7" s="16">
        <v>3</v>
      </c>
      <c r="E7" s="140"/>
      <c r="F7" s="141"/>
      <c r="H7" s="1">
        <v>4</v>
      </c>
      <c r="I7" s="1">
        <v>5</v>
      </c>
    </row>
    <row r="8" spans="1:9" x14ac:dyDescent="0.25">
      <c r="A8" s="65" t="s">
        <v>400</v>
      </c>
      <c r="B8" s="142"/>
      <c r="C8" s="13" t="s">
        <v>26</v>
      </c>
      <c r="D8" s="16">
        <v>10</v>
      </c>
      <c r="E8" s="140"/>
      <c r="F8" s="141"/>
      <c r="H8" s="1">
        <v>0</v>
      </c>
      <c r="I8" s="1">
        <v>5</v>
      </c>
    </row>
    <row r="9" spans="1:9" x14ac:dyDescent="0.25">
      <c r="A9" s="65" t="s">
        <v>401</v>
      </c>
      <c r="B9" s="142"/>
      <c r="C9" s="13" t="s">
        <v>27</v>
      </c>
      <c r="D9" s="16">
        <v>9</v>
      </c>
      <c r="E9" s="140"/>
      <c r="F9" s="141"/>
      <c r="H9" s="1">
        <v>2</v>
      </c>
      <c r="I9" s="1">
        <v>5</v>
      </c>
    </row>
    <row r="10" spans="1:9" x14ac:dyDescent="0.25">
      <c r="A10" s="65" t="s">
        <v>402</v>
      </c>
      <c r="B10" s="142"/>
      <c r="C10" s="13" t="s">
        <v>28</v>
      </c>
      <c r="D10" s="16"/>
      <c r="E10" s="140"/>
      <c r="F10" s="141"/>
      <c r="H10" s="1">
        <v>0</v>
      </c>
      <c r="I10" s="1">
        <v>0</v>
      </c>
    </row>
    <row r="11" spans="1:9" ht="28.9" hidden="1" x14ac:dyDescent="0.3">
      <c r="A11" s="65" t="s">
        <v>324</v>
      </c>
      <c r="B11" s="142" t="s">
        <v>178</v>
      </c>
      <c r="C11" s="142"/>
      <c r="D11" s="14" t="s">
        <v>179</v>
      </c>
      <c r="E11" s="140"/>
      <c r="F11" s="141"/>
      <c r="H11" s="1">
        <v>0</v>
      </c>
      <c r="I11" s="1">
        <v>0</v>
      </c>
    </row>
    <row r="12" spans="1:9" ht="28.9" hidden="1" x14ac:dyDescent="0.3">
      <c r="A12" s="65" t="s">
        <v>325</v>
      </c>
      <c r="B12" s="142" t="s">
        <v>446</v>
      </c>
      <c r="C12" s="142"/>
      <c r="D12" s="14" t="s">
        <v>179</v>
      </c>
      <c r="E12" s="140"/>
      <c r="F12" s="141"/>
      <c r="H12" s="1">
        <v>0</v>
      </c>
      <c r="I12" s="1">
        <v>0</v>
      </c>
    </row>
    <row r="13" spans="1:9" ht="28.9" hidden="1" x14ac:dyDescent="0.3">
      <c r="A13" s="65" t="s">
        <v>326</v>
      </c>
      <c r="B13" s="142" t="s">
        <v>447</v>
      </c>
      <c r="C13" s="142"/>
      <c r="D13" s="14" t="s">
        <v>179</v>
      </c>
      <c r="E13" s="140"/>
      <c r="F13" s="141"/>
      <c r="H13" s="1">
        <v>0</v>
      </c>
      <c r="I13" s="1">
        <v>0</v>
      </c>
    </row>
    <row r="14" spans="1:9" x14ac:dyDescent="0.25">
      <c r="A14" s="65"/>
      <c r="B14" s="142" t="s">
        <v>441</v>
      </c>
      <c r="C14" s="15" t="s">
        <v>24</v>
      </c>
      <c r="D14" s="15" t="s">
        <v>301</v>
      </c>
      <c r="E14" s="60"/>
      <c r="F14" s="61"/>
    </row>
    <row r="15" spans="1:9" x14ac:dyDescent="0.25">
      <c r="A15" s="65" t="s">
        <v>403</v>
      </c>
      <c r="B15" s="142"/>
      <c r="C15" s="13" t="s">
        <v>25</v>
      </c>
      <c r="D15" s="14" t="s">
        <v>8</v>
      </c>
      <c r="E15" s="140"/>
      <c r="F15" s="141"/>
      <c r="H15" s="1">
        <v>5</v>
      </c>
      <c r="I15" s="1">
        <v>5</v>
      </c>
    </row>
    <row r="16" spans="1:9" x14ac:dyDescent="0.25">
      <c r="A16" s="65" t="s">
        <v>404</v>
      </c>
      <c r="B16" s="142"/>
      <c r="C16" s="13" t="s">
        <v>26</v>
      </c>
      <c r="D16" s="14" t="s">
        <v>21</v>
      </c>
      <c r="E16" s="140"/>
      <c r="F16" s="141"/>
      <c r="H16" s="1">
        <v>3</v>
      </c>
      <c r="I16" s="1">
        <v>5</v>
      </c>
    </row>
    <row r="17" spans="1:9" x14ac:dyDescent="0.25">
      <c r="A17" s="65" t="s">
        <v>405</v>
      </c>
      <c r="B17" s="142"/>
      <c r="C17" s="13" t="s">
        <v>27</v>
      </c>
      <c r="D17" s="14" t="s">
        <v>21</v>
      </c>
      <c r="E17" s="140"/>
      <c r="F17" s="141"/>
      <c r="H17" s="1">
        <v>3</v>
      </c>
      <c r="I17" s="1">
        <v>5</v>
      </c>
    </row>
    <row r="18" spans="1:9" x14ac:dyDescent="0.25">
      <c r="A18" s="65" t="s">
        <v>406</v>
      </c>
      <c r="B18" s="142"/>
      <c r="C18" s="13" t="s">
        <v>28</v>
      </c>
      <c r="D18" s="14" t="s">
        <v>23</v>
      </c>
      <c r="E18" s="140"/>
      <c r="F18" s="141"/>
      <c r="H18" s="1">
        <v>0</v>
      </c>
      <c r="I18" s="1">
        <v>5</v>
      </c>
    </row>
    <row r="19" spans="1:9" ht="30" x14ac:dyDescent="0.25">
      <c r="B19" s="142" t="s">
        <v>442</v>
      </c>
      <c r="C19" s="15" t="s">
        <v>24</v>
      </c>
      <c r="D19" s="15" t="s">
        <v>182</v>
      </c>
      <c r="E19" s="15" t="s">
        <v>181</v>
      </c>
      <c r="F19" s="13"/>
    </row>
    <row r="20" spans="1:9" x14ac:dyDescent="0.25">
      <c r="A20" s="64" t="s">
        <v>407</v>
      </c>
      <c r="B20" s="142"/>
      <c r="C20" s="13" t="s">
        <v>25</v>
      </c>
      <c r="D20" s="14" t="s">
        <v>180</v>
      </c>
      <c r="E20" s="14" t="s">
        <v>78</v>
      </c>
      <c r="F20" s="25"/>
      <c r="H20" s="1">
        <v>2</v>
      </c>
      <c r="I20" s="1">
        <v>5</v>
      </c>
    </row>
    <row r="21" spans="1:9" x14ac:dyDescent="0.25">
      <c r="A21" s="64" t="s">
        <v>408</v>
      </c>
      <c r="B21" s="142"/>
      <c r="C21" s="13" t="s">
        <v>26</v>
      </c>
      <c r="D21" s="14" t="s">
        <v>2</v>
      </c>
      <c r="E21" s="14" t="s">
        <v>77</v>
      </c>
      <c r="F21" s="25"/>
      <c r="H21" s="1">
        <v>0</v>
      </c>
      <c r="I21" s="1">
        <v>5</v>
      </c>
    </row>
    <row r="22" spans="1:9" x14ac:dyDescent="0.25">
      <c r="A22" s="64" t="s">
        <v>409</v>
      </c>
      <c r="B22" s="142"/>
      <c r="C22" s="13" t="s">
        <v>27</v>
      </c>
      <c r="D22" s="14" t="s">
        <v>180</v>
      </c>
      <c r="E22" s="14" t="s">
        <v>78</v>
      </c>
      <c r="F22" s="25"/>
      <c r="H22" s="1">
        <v>2</v>
      </c>
      <c r="I22" s="1">
        <v>5</v>
      </c>
    </row>
    <row r="23" spans="1:9" x14ac:dyDescent="0.25">
      <c r="A23" s="64" t="s">
        <v>410</v>
      </c>
      <c r="B23" s="142"/>
      <c r="C23" s="13" t="s">
        <v>28</v>
      </c>
      <c r="D23" s="14" t="s">
        <v>180</v>
      </c>
      <c r="E23" s="14" t="s">
        <v>79</v>
      </c>
      <c r="F23" s="25"/>
      <c r="H23" s="1">
        <v>1.2</v>
      </c>
      <c r="I23" s="1">
        <v>5</v>
      </c>
    </row>
    <row r="24" spans="1:9" x14ac:dyDescent="0.25">
      <c r="B24" s="142" t="s">
        <v>440</v>
      </c>
      <c r="C24" s="15" t="s">
        <v>24</v>
      </c>
      <c r="D24" s="15" t="s">
        <v>182</v>
      </c>
      <c r="E24" s="142"/>
      <c r="F24" s="142"/>
    </row>
    <row r="25" spans="1:9" x14ac:dyDescent="0.25">
      <c r="A25" s="64" t="s">
        <v>411</v>
      </c>
      <c r="B25" s="142"/>
      <c r="C25" s="13" t="s">
        <v>25</v>
      </c>
      <c r="D25" s="14" t="s">
        <v>180</v>
      </c>
      <c r="E25" s="144"/>
      <c r="F25" s="144"/>
      <c r="H25" s="1">
        <v>2</v>
      </c>
      <c r="I25" s="1">
        <v>5</v>
      </c>
    </row>
    <row r="26" spans="1:9" x14ac:dyDescent="0.25">
      <c r="A26" s="64" t="s">
        <v>412</v>
      </c>
      <c r="B26" s="142"/>
      <c r="C26" s="13" t="s">
        <v>26</v>
      </c>
      <c r="D26" s="14" t="s">
        <v>1</v>
      </c>
      <c r="E26" s="144"/>
      <c r="F26" s="144"/>
      <c r="H26" s="1">
        <v>5</v>
      </c>
      <c r="I26" s="1">
        <v>5</v>
      </c>
    </row>
    <row r="27" spans="1:9" x14ac:dyDescent="0.25">
      <c r="A27" s="64" t="s">
        <v>413</v>
      </c>
      <c r="B27" s="142"/>
      <c r="C27" s="13" t="s">
        <v>27</v>
      </c>
      <c r="D27" s="14" t="s">
        <v>2</v>
      </c>
      <c r="E27" s="144"/>
      <c r="F27" s="144"/>
      <c r="H27" s="1">
        <v>0</v>
      </c>
      <c r="I27" s="1">
        <v>5</v>
      </c>
    </row>
    <row r="28" spans="1:9" x14ac:dyDescent="0.25">
      <c r="A28" s="64" t="s">
        <v>414</v>
      </c>
      <c r="B28" s="142"/>
      <c r="C28" s="13" t="s">
        <v>28</v>
      </c>
      <c r="D28" s="14" t="s">
        <v>180</v>
      </c>
      <c r="E28" s="144"/>
      <c r="F28" s="144"/>
      <c r="H28" s="1">
        <v>2</v>
      </c>
      <c r="I28" s="1">
        <v>5</v>
      </c>
    </row>
    <row r="29" spans="1:9" ht="30" x14ac:dyDescent="0.25">
      <c r="B29" s="142" t="s">
        <v>439</v>
      </c>
      <c r="C29" s="15" t="s">
        <v>24</v>
      </c>
      <c r="D29" s="15" t="s">
        <v>182</v>
      </c>
      <c r="E29" s="15" t="s">
        <v>181</v>
      </c>
      <c r="F29" s="13"/>
    </row>
    <row r="30" spans="1:9" x14ac:dyDescent="0.25">
      <c r="A30" s="64" t="s">
        <v>415</v>
      </c>
      <c r="B30" s="142"/>
      <c r="C30" s="13" t="s">
        <v>25</v>
      </c>
      <c r="D30" s="14" t="s">
        <v>180</v>
      </c>
      <c r="E30" s="14" t="s">
        <v>79</v>
      </c>
      <c r="F30" s="25"/>
      <c r="H30" s="1">
        <v>1.2</v>
      </c>
      <c r="I30" s="1">
        <v>5</v>
      </c>
    </row>
    <row r="31" spans="1:9" x14ac:dyDescent="0.25">
      <c r="A31" s="64" t="s">
        <v>416</v>
      </c>
      <c r="B31" s="142"/>
      <c r="C31" s="13" t="s">
        <v>26</v>
      </c>
      <c r="D31" s="14" t="s">
        <v>180</v>
      </c>
      <c r="E31" s="14" t="s">
        <v>79</v>
      </c>
      <c r="F31" s="25"/>
      <c r="H31" s="1">
        <v>1.2</v>
      </c>
      <c r="I31" s="1">
        <v>5</v>
      </c>
    </row>
    <row r="32" spans="1:9" x14ac:dyDescent="0.25">
      <c r="A32" s="64" t="s">
        <v>417</v>
      </c>
      <c r="B32" s="142"/>
      <c r="C32" s="13" t="s">
        <v>27</v>
      </c>
      <c r="D32" s="14" t="s">
        <v>180</v>
      </c>
      <c r="E32" s="14" t="s">
        <v>79</v>
      </c>
      <c r="F32" s="25"/>
      <c r="H32" s="1">
        <v>1.2</v>
      </c>
      <c r="I32" s="1">
        <v>5</v>
      </c>
    </row>
    <row r="33" spans="1:9" x14ac:dyDescent="0.25">
      <c r="A33" s="64" t="s">
        <v>418</v>
      </c>
      <c r="B33" s="142"/>
      <c r="C33" s="13" t="s">
        <v>28</v>
      </c>
      <c r="D33" s="14" t="s">
        <v>180</v>
      </c>
      <c r="E33" s="14" t="s">
        <v>79</v>
      </c>
      <c r="F33" s="25"/>
      <c r="H33" s="1">
        <v>1.2</v>
      </c>
      <c r="I33" s="1">
        <v>5</v>
      </c>
    </row>
    <row r="34" spans="1:9" ht="30" x14ac:dyDescent="0.25">
      <c r="B34" s="142" t="s">
        <v>438</v>
      </c>
      <c r="C34" s="15" t="s">
        <v>24</v>
      </c>
      <c r="D34" s="15" t="s">
        <v>182</v>
      </c>
      <c r="E34" s="15" t="s">
        <v>181</v>
      </c>
      <c r="F34" s="13"/>
    </row>
    <row r="35" spans="1:9" x14ac:dyDescent="0.25">
      <c r="A35" s="64" t="s">
        <v>419</v>
      </c>
      <c r="B35" s="142"/>
      <c r="C35" s="13" t="s">
        <v>25</v>
      </c>
      <c r="D35" s="14" t="s">
        <v>180</v>
      </c>
      <c r="E35" s="14" t="s">
        <v>79</v>
      </c>
      <c r="F35" s="25"/>
      <c r="H35" s="1">
        <v>1.2</v>
      </c>
      <c r="I35" s="1">
        <v>5</v>
      </c>
    </row>
    <row r="36" spans="1:9" x14ac:dyDescent="0.25">
      <c r="A36" s="64" t="s">
        <v>420</v>
      </c>
      <c r="B36" s="142"/>
      <c r="C36" s="13" t="s">
        <v>26</v>
      </c>
      <c r="D36" s="14" t="s">
        <v>180</v>
      </c>
      <c r="E36" s="14" t="s">
        <v>79</v>
      </c>
      <c r="F36" s="25"/>
      <c r="H36" s="1">
        <v>1.2</v>
      </c>
      <c r="I36" s="1">
        <v>5</v>
      </c>
    </row>
    <row r="37" spans="1:9" x14ac:dyDescent="0.25">
      <c r="A37" s="64" t="s">
        <v>421</v>
      </c>
      <c r="B37" s="142"/>
      <c r="C37" s="13" t="s">
        <v>27</v>
      </c>
      <c r="D37" s="14" t="s">
        <v>1</v>
      </c>
      <c r="E37" s="14" t="s">
        <v>79</v>
      </c>
      <c r="F37" s="25"/>
      <c r="H37" s="1">
        <v>3</v>
      </c>
      <c r="I37" s="1">
        <v>5</v>
      </c>
    </row>
    <row r="38" spans="1:9" x14ac:dyDescent="0.25">
      <c r="A38" s="64" t="s">
        <v>422</v>
      </c>
      <c r="B38" s="142"/>
      <c r="C38" s="13" t="s">
        <v>28</v>
      </c>
      <c r="D38" s="14" t="s">
        <v>2</v>
      </c>
      <c r="E38" s="14" t="s">
        <v>79</v>
      </c>
      <c r="F38" s="25"/>
      <c r="H38" s="1">
        <v>0</v>
      </c>
      <c r="I38" s="1">
        <v>5</v>
      </c>
    </row>
    <row r="39" spans="1:9" ht="30" x14ac:dyDescent="0.25">
      <c r="B39" s="142" t="s">
        <v>437</v>
      </c>
      <c r="C39" s="15" t="s">
        <v>24</v>
      </c>
      <c r="D39" s="15" t="s">
        <v>182</v>
      </c>
      <c r="E39" s="15" t="s">
        <v>181</v>
      </c>
      <c r="F39" s="13"/>
    </row>
    <row r="40" spans="1:9" x14ac:dyDescent="0.25">
      <c r="A40" s="64" t="s">
        <v>423</v>
      </c>
      <c r="B40" s="142"/>
      <c r="C40" s="13" t="s">
        <v>25</v>
      </c>
      <c r="D40" s="14" t="s">
        <v>180</v>
      </c>
      <c r="E40" s="14" t="s">
        <v>79</v>
      </c>
      <c r="F40" s="25"/>
      <c r="H40" s="1">
        <v>1.2</v>
      </c>
      <c r="I40" s="1">
        <v>5</v>
      </c>
    </row>
    <row r="41" spans="1:9" x14ac:dyDescent="0.25">
      <c r="A41" s="64" t="s">
        <v>424</v>
      </c>
      <c r="B41" s="142"/>
      <c r="C41" s="13" t="s">
        <v>26</v>
      </c>
      <c r="D41" s="14" t="s">
        <v>180</v>
      </c>
      <c r="E41" s="14" t="s">
        <v>79</v>
      </c>
      <c r="F41" s="25"/>
      <c r="H41" s="1">
        <v>1.2</v>
      </c>
      <c r="I41" s="1">
        <v>5</v>
      </c>
    </row>
    <row r="42" spans="1:9" x14ac:dyDescent="0.25">
      <c r="A42" s="64" t="s">
        <v>425</v>
      </c>
      <c r="B42" s="142"/>
      <c r="C42" s="13" t="s">
        <v>27</v>
      </c>
      <c r="D42" s="14" t="s">
        <v>180</v>
      </c>
      <c r="E42" s="14" t="s">
        <v>79</v>
      </c>
      <c r="F42" s="25"/>
      <c r="H42" s="1">
        <v>1.2</v>
      </c>
      <c r="I42" s="1">
        <v>5</v>
      </c>
    </row>
    <row r="43" spans="1:9" x14ac:dyDescent="0.25">
      <c r="A43" s="64" t="s">
        <v>426</v>
      </c>
      <c r="B43" s="142"/>
      <c r="C43" s="13" t="s">
        <v>28</v>
      </c>
      <c r="D43" s="14" t="s">
        <v>180</v>
      </c>
      <c r="E43" s="14" t="s">
        <v>79</v>
      </c>
      <c r="F43" s="25"/>
      <c r="H43" s="1">
        <v>1.2</v>
      </c>
      <c r="I43" s="1">
        <v>5</v>
      </c>
    </row>
    <row r="44" spans="1:9" ht="14.45" hidden="1" x14ac:dyDescent="0.3">
      <c r="B44" s="142" t="s">
        <v>436</v>
      </c>
      <c r="C44" s="15" t="s">
        <v>24</v>
      </c>
      <c r="D44" s="15" t="s">
        <v>30</v>
      </c>
      <c r="E44" s="142"/>
      <c r="F44" s="142"/>
    </row>
    <row r="45" spans="1:9" ht="14.45" hidden="1" x14ac:dyDescent="0.3">
      <c r="A45" s="64" t="s">
        <v>427</v>
      </c>
      <c r="B45" s="142"/>
      <c r="C45" s="13" t="s">
        <v>25</v>
      </c>
      <c r="D45" s="14" t="s">
        <v>1</v>
      </c>
      <c r="E45" s="144"/>
      <c r="F45" s="144"/>
      <c r="H45" s="1">
        <v>0</v>
      </c>
      <c r="I45" s="1">
        <v>0</v>
      </c>
    </row>
    <row r="46" spans="1:9" ht="14.45" hidden="1" x14ac:dyDescent="0.3">
      <c r="A46" s="64" t="s">
        <v>428</v>
      </c>
      <c r="B46" s="142"/>
      <c r="C46" s="13" t="s">
        <v>26</v>
      </c>
      <c r="D46" s="14" t="s">
        <v>2</v>
      </c>
      <c r="E46" s="144"/>
      <c r="F46" s="144"/>
      <c r="H46" s="1">
        <v>0</v>
      </c>
      <c r="I46" s="1">
        <v>0</v>
      </c>
    </row>
    <row r="47" spans="1:9" ht="14.45" hidden="1" x14ac:dyDescent="0.3">
      <c r="A47" s="64" t="s">
        <v>429</v>
      </c>
      <c r="B47" s="142"/>
      <c r="C47" s="13" t="s">
        <v>27</v>
      </c>
      <c r="D47" s="14" t="s">
        <v>1</v>
      </c>
      <c r="E47" s="144"/>
      <c r="F47" s="144"/>
      <c r="H47" s="1">
        <v>0</v>
      </c>
      <c r="I47" s="1">
        <v>0</v>
      </c>
    </row>
    <row r="48" spans="1:9" ht="30" x14ac:dyDescent="0.25">
      <c r="B48" s="142" t="s">
        <v>435</v>
      </c>
      <c r="C48" s="15" t="s">
        <v>24</v>
      </c>
      <c r="D48" s="15" t="s">
        <v>177</v>
      </c>
      <c r="E48" s="142"/>
      <c r="F48" s="142"/>
    </row>
    <row r="49" spans="1:9" x14ac:dyDescent="0.25">
      <c r="A49" s="64" t="s">
        <v>430</v>
      </c>
      <c r="B49" s="142"/>
      <c r="C49" s="13" t="s">
        <v>25</v>
      </c>
      <c r="D49" s="16">
        <v>78</v>
      </c>
      <c r="E49" s="144"/>
      <c r="F49" s="144"/>
      <c r="H49" s="1">
        <v>4</v>
      </c>
      <c r="I49" s="1">
        <v>5</v>
      </c>
    </row>
    <row r="50" spans="1:9" x14ac:dyDescent="0.25">
      <c r="A50" s="64" t="s">
        <v>431</v>
      </c>
      <c r="B50" s="142"/>
      <c r="C50" s="13" t="s">
        <v>26</v>
      </c>
      <c r="D50" s="16">
        <v>45</v>
      </c>
      <c r="E50" s="144"/>
      <c r="F50" s="144"/>
      <c r="H50" s="1">
        <v>2</v>
      </c>
      <c r="I50" s="1">
        <v>5</v>
      </c>
    </row>
    <row r="51" spans="1:9" x14ac:dyDescent="0.25">
      <c r="A51" s="64" t="s">
        <v>432</v>
      </c>
      <c r="B51" s="142"/>
      <c r="C51" s="13" t="s">
        <v>27</v>
      </c>
      <c r="D51" s="16">
        <v>21</v>
      </c>
      <c r="E51" s="144"/>
      <c r="F51" s="144"/>
      <c r="H51" s="1">
        <v>1</v>
      </c>
      <c r="I51" s="1">
        <v>5</v>
      </c>
    </row>
    <row r="52" spans="1:9" ht="28.9" hidden="1" x14ac:dyDescent="0.3">
      <c r="A52" s="64" t="s">
        <v>362</v>
      </c>
      <c r="B52" s="142" t="s">
        <v>433</v>
      </c>
      <c r="C52" s="142"/>
      <c r="D52" s="14" t="s">
        <v>183</v>
      </c>
      <c r="E52" s="144"/>
      <c r="F52" s="144"/>
      <c r="H52" s="1">
        <v>0</v>
      </c>
      <c r="I52" s="1">
        <v>5</v>
      </c>
    </row>
    <row r="53" spans="1:9" ht="30" x14ac:dyDescent="0.25">
      <c r="A53" s="64" t="s">
        <v>363</v>
      </c>
      <c r="B53" s="142" t="s">
        <v>434</v>
      </c>
      <c r="C53" s="142"/>
      <c r="D53" s="14" t="s">
        <v>471</v>
      </c>
      <c r="E53" s="144"/>
      <c r="F53" s="144"/>
      <c r="H53" s="1">
        <v>3</v>
      </c>
      <c r="I53" s="1">
        <v>5</v>
      </c>
    </row>
    <row r="55" spans="1:9" ht="14.45" customHeight="1" x14ac:dyDescent="0.25">
      <c r="D55" s="134">
        <f>H56</f>
        <v>38.444444444444457</v>
      </c>
      <c r="E55" s="67"/>
      <c r="H55" s="1">
        <f>SUM(H2:H53)</f>
        <v>69.200000000000031</v>
      </c>
      <c r="I55" s="1">
        <f>SUM(I2:I53)</f>
        <v>180</v>
      </c>
    </row>
    <row r="56" spans="1:9" ht="14.45" customHeight="1" x14ac:dyDescent="0.25">
      <c r="D56" s="134"/>
      <c r="E56" s="67"/>
      <c r="H56" s="1">
        <f>(H55*I56)/I55</f>
        <v>38.444444444444457</v>
      </c>
      <c r="I56" s="1">
        <v>100</v>
      </c>
    </row>
    <row r="58" spans="1:9" x14ac:dyDescent="0.25">
      <c r="B58" s="1" t="s">
        <v>510</v>
      </c>
    </row>
  </sheetData>
  <dataConsolidate/>
  <mergeCells count="50">
    <mergeCell ref="B52:C52"/>
    <mergeCell ref="E52:F52"/>
    <mergeCell ref="B53:C53"/>
    <mergeCell ref="E53:F53"/>
    <mergeCell ref="B48:B51"/>
    <mergeCell ref="E48:F48"/>
    <mergeCell ref="E49:F49"/>
    <mergeCell ref="E50:F50"/>
    <mergeCell ref="E51:F51"/>
    <mergeCell ref="B29:B33"/>
    <mergeCell ref="B34:B38"/>
    <mergeCell ref="B39:B43"/>
    <mergeCell ref="B44:B47"/>
    <mergeCell ref="E44:F44"/>
    <mergeCell ref="E45:F45"/>
    <mergeCell ref="E46:F46"/>
    <mergeCell ref="E47:F47"/>
    <mergeCell ref="B19:B23"/>
    <mergeCell ref="B24:B28"/>
    <mergeCell ref="E24:F24"/>
    <mergeCell ref="E25:F25"/>
    <mergeCell ref="E26:F26"/>
    <mergeCell ref="E27:F27"/>
    <mergeCell ref="E28:F28"/>
    <mergeCell ref="B11:C11"/>
    <mergeCell ref="B12:C12"/>
    <mergeCell ref="B13:C13"/>
    <mergeCell ref="B6:B10"/>
    <mergeCell ref="B14:B18"/>
    <mergeCell ref="B2:C2"/>
    <mergeCell ref="B3:C3"/>
    <mergeCell ref="B4:C4"/>
    <mergeCell ref="B5:C5"/>
    <mergeCell ref="E1:F1"/>
    <mergeCell ref="E2:F2"/>
    <mergeCell ref="E3:F3"/>
    <mergeCell ref="E4:F4"/>
    <mergeCell ref="E5:F5"/>
    <mergeCell ref="E7:F7"/>
    <mergeCell ref="E8:F8"/>
    <mergeCell ref="E9:F9"/>
    <mergeCell ref="E10:F10"/>
    <mergeCell ref="E11:F11"/>
    <mergeCell ref="E17:F17"/>
    <mergeCell ref="E18:F18"/>
    <mergeCell ref="D55:D56"/>
    <mergeCell ref="E12:F12"/>
    <mergeCell ref="E13:F13"/>
    <mergeCell ref="E15:F15"/>
    <mergeCell ref="E16:F16"/>
  </mergeCells>
  <dataValidations count="2">
    <dataValidation type="whole" allowBlank="1" showInputMessage="1" showErrorMessage="1" errorTitle="How many?" error="Please input number of approvals" promptTitle="How many" prompt="Number of approvals" sqref="D7:D10">
      <formula1>0</formula1>
      <formula2>15</formula2>
    </dataValidation>
    <dataValidation type="decimal" allowBlank="1" showInputMessage="1" showErrorMessage="1" errorTitle="How big?" error="Please input scale of env w.r.t. prd" promptTitle="How big" prompt="Scale of env w.r.t. prd" sqref="D49:D51">
      <formula1>1</formula1>
      <formula2>100</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42000" r:id="rId4" name="btnDeploy_Calculate">
          <controlPr defaultSize="0" autoLine="0" r:id="rId5">
            <anchor moveWithCells="1">
              <from>
                <xdr:col>1</xdr:col>
                <xdr:colOff>4324350</xdr:colOff>
                <xdr:row>53</xdr:row>
                <xdr:rowOff>171450</xdr:rowOff>
              </from>
              <to>
                <xdr:col>3</xdr:col>
                <xdr:colOff>133350</xdr:colOff>
                <xdr:row>55</xdr:row>
                <xdr:rowOff>171450</xdr:rowOff>
              </to>
            </anchor>
          </controlPr>
        </control>
      </mc:Choice>
      <mc:Fallback>
        <control shapeId="42000" r:id="rId4" name="btnDeploy_Calculate"/>
      </mc:Fallback>
    </mc:AlternateContent>
  </controls>
  <extLst>
    <ext xmlns:x14="http://schemas.microsoft.com/office/spreadsheetml/2009/9/main" uri="{CCE6A557-97BC-4b89-ADB6-D9C93CAAB3DF}">
      <x14:dataValidations xmlns:xm="http://schemas.microsoft.com/office/excel/2006/main" count="10">
        <x14:dataValidation type="list" allowBlank="1" showInputMessage="1" showErrorMessage="1">
          <x14:formula1>
            <xm:f>DataNew!$B$79:$B$80</xm:f>
          </x14:formula1>
          <xm:sqref>D2:D3</xm:sqref>
        </x14:dataValidation>
        <x14:dataValidation type="list" allowBlank="1" showInputMessage="1" showErrorMessage="1">
          <x14:formula1>
            <xm:f>DataNew!$E$79:$E$81</xm:f>
          </x14:formula1>
          <xm:sqref>D4</xm:sqref>
        </x14:dataValidation>
        <x14:dataValidation type="list" allowBlank="1" showInputMessage="1" showErrorMessage="1">
          <x14:formula1>
            <xm:f>DataNew!$H$79:$H$82</xm:f>
          </x14:formula1>
          <xm:sqref>D5</xm:sqref>
        </x14:dataValidation>
        <x14:dataValidation type="list" allowBlank="1" showInputMessage="1" showErrorMessage="1">
          <x14:formula1>
            <xm:f>DataNew!$K$79:$K$81</xm:f>
          </x14:formula1>
          <xm:sqref>D11:D13</xm:sqref>
        </x14:dataValidation>
        <x14:dataValidation type="list" allowBlank="1" showInputMessage="1" showErrorMessage="1">
          <x14:formula1>
            <xm:f>DataNew!$N$79:$N$82</xm:f>
          </x14:formula1>
          <xm:sqref>D15:D18</xm:sqref>
        </x14:dataValidation>
        <x14:dataValidation type="list" allowBlank="1" showInputMessage="1" showErrorMessage="1">
          <x14:formula1>
            <xm:f>DataNew!$Q$79:$Q$81</xm:f>
          </x14:formula1>
          <xm:sqref>D20:D23 D25:D28 D30:D33 D35:D38 D40:D43</xm:sqref>
        </x14:dataValidation>
        <x14:dataValidation type="list" allowBlank="1" showInputMessage="1" showErrorMessage="1">
          <x14:formula1>
            <xm:f>DataNew!$T$79:$T$81</xm:f>
          </x14:formula1>
          <xm:sqref>E20:E23 E30:E33 E35:E38 E40:E43</xm:sqref>
        </x14:dataValidation>
        <x14:dataValidation type="list" allowBlank="1" showInputMessage="1" showErrorMessage="1">
          <x14:formula1>
            <xm:f>DataNew!$W$79:$W$80</xm:f>
          </x14:formula1>
          <xm:sqref>D45:D47</xm:sqref>
        </x14:dataValidation>
        <x14:dataValidation type="list" allowBlank="1" showInputMessage="1" showErrorMessage="1">
          <x14:formula1>
            <xm:f>DataNew!$Z$79:$Z$81</xm:f>
          </x14:formula1>
          <xm:sqref>D52</xm:sqref>
        </x14:dataValidation>
        <x14:dataValidation type="list" allowBlank="1" showInputMessage="1" showErrorMessage="1">
          <x14:formula1>
            <xm:f>DataNew!$AC$79:$AC$84</xm:f>
          </x14:formula1>
          <xm:sqref>D53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lease"/>
  <dimension ref="A1:G16"/>
  <sheetViews>
    <sheetView workbookViewId="0">
      <selection activeCell="I16" sqref="I16"/>
    </sheetView>
  </sheetViews>
  <sheetFormatPr defaultRowHeight="15" x14ac:dyDescent="0.25"/>
  <cols>
    <col min="2" max="2" width="59" bestFit="1" customWidth="1"/>
    <col min="3" max="3" width="24.85546875" customWidth="1"/>
    <col min="4" max="4" width="44.7109375" style="5" customWidth="1"/>
    <col min="6" max="7" width="8.85546875" customWidth="1"/>
  </cols>
  <sheetData>
    <row r="1" spans="1:7" ht="14.45" x14ac:dyDescent="0.3">
      <c r="D1" s="4" t="s">
        <v>116</v>
      </c>
      <c r="F1" s="4" t="s">
        <v>317</v>
      </c>
      <c r="G1" s="4" t="s">
        <v>318</v>
      </c>
    </row>
    <row r="2" spans="1:7" ht="14.45" x14ac:dyDescent="0.3">
      <c r="A2" s="34" t="s">
        <v>319</v>
      </c>
      <c r="B2" s="7" t="s">
        <v>506</v>
      </c>
      <c r="C2" s="12" t="s">
        <v>190</v>
      </c>
      <c r="D2" s="24"/>
      <c r="F2">
        <v>5</v>
      </c>
      <c r="G2">
        <v>5</v>
      </c>
    </row>
    <row r="3" spans="1:7" ht="14.45" x14ac:dyDescent="0.3">
      <c r="A3" s="34" t="s">
        <v>320</v>
      </c>
      <c r="B3" s="7" t="s">
        <v>505</v>
      </c>
      <c r="C3" s="12" t="s">
        <v>41</v>
      </c>
      <c r="D3" s="24"/>
      <c r="F3">
        <v>0</v>
      </c>
      <c r="G3">
        <v>0</v>
      </c>
    </row>
    <row r="4" spans="1:7" ht="14.45" x14ac:dyDescent="0.3">
      <c r="A4" s="34" t="s">
        <v>321</v>
      </c>
      <c r="B4" s="7" t="s">
        <v>504</v>
      </c>
      <c r="C4" s="12" t="s">
        <v>192</v>
      </c>
      <c r="D4" s="24"/>
      <c r="F4">
        <v>3</v>
      </c>
      <c r="G4">
        <v>5</v>
      </c>
    </row>
    <row r="5" spans="1:7" ht="14.45" hidden="1" x14ac:dyDescent="0.3">
      <c r="A5" s="63" t="s">
        <v>322</v>
      </c>
      <c r="B5" s="7" t="s">
        <v>503</v>
      </c>
      <c r="C5" s="12" t="s">
        <v>41</v>
      </c>
      <c r="D5" s="24"/>
      <c r="F5">
        <v>0</v>
      </c>
      <c r="G5">
        <v>0</v>
      </c>
    </row>
    <row r="6" spans="1:7" ht="14.45" x14ac:dyDescent="0.3">
      <c r="A6" s="63" t="s">
        <v>323</v>
      </c>
      <c r="B6" s="7" t="s">
        <v>502</v>
      </c>
      <c r="C6" s="12" t="s">
        <v>195</v>
      </c>
      <c r="D6" s="24"/>
      <c r="F6">
        <v>0</v>
      </c>
      <c r="G6">
        <v>0</v>
      </c>
    </row>
    <row r="7" spans="1:7" ht="14.45" x14ac:dyDescent="0.3">
      <c r="A7" s="63" t="s">
        <v>324</v>
      </c>
      <c r="B7" s="7" t="s">
        <v>501</v>
      </c>
      <c r="C7" s="12" t="s">
        <v>2</v>
      </c>
      <c r="D7" s="24"/>
      <c r="F7">
        <v>0</v>
      </c>
      <c r="G7">
        <v>5</v>
      </c>
    </row>
    <row r="8" spans="1:7" ht="14.45" x14ac:dyDescent="0.3">
      <c r="A8" s="63" t="s">
        <v>325</v>
      </c>
      <c r="B8" s="73" t="s">
        <v>508</v>
      </c>
      <c r="C8" s="74" t="s">
        <v>1</v>
      </c>
      <c r="D8" s="75"/>
      <c r="F8">
        <v>5</v>
      </c>
      <c r="G8">
        <v>5</v>
      </c>
    </row>
    <row r="9" spans="1:7" ht="14.45" x14ac:dyDescent="0.3">
      <c r="A9" s="76" t="s">
        <v>326</v>
      </c>
      <c r="B9" s="35" t="s">
        <v>507</v>
      </c>
      <c r="C9" s="12" t="s">
        <v>1</v>
      </c>
      <c r="D9" s="24"/>
      <c r="F9">
        <v>5</v>
      </c>
      <c r="G9">
        <v>5</v>
      </c>
    </row>
    <row r="10" spans="1:7" ht="14.45" x14ac:dyDescent="0.3">
      <c r="A10" s="28"/>
      <c r="B10" s="28"/>
      <c r="C10" s="28"/>
      <c r="D10" s="33"/>
    </row>
    <row r="11" spans="1:7" x14ac:dyDescent="0.25">
      <c r="C11" s="134">
        <f>F12</f>
        <v>52</v>
      </c>
      <c r="F11">
        <f>SUM(F2:F8)</f>
        <v>13</v>
      </c>
      <c r="G11">
        <f>SUM(G2:G9)</f>
        <v>25</v>
      </c>
    </row>
    <row r="12" spans="1:7" x14ac:dyDescent="0.25">
      <c r="C12" s="134"/>
      <c r="F12">
        <f>(F11*G12)/G11</f>
        <v>52</v>
      </c>
      <c r="G12">
        <v>100</v>
      </c>
    </row>
    <row r="15" spans="1:7" ht="75" x14ac:dyDescent="0.25">
      <c r="B15" t="s">
        <v>527</v>
      </c>
      <c r="C15" s="1" t="s">
        <v>528</v>
      </c>
    </row>
    <row r="16" spans="1:7" ht="90" x14ac:dyDescent="0.25">
      <c r="B16" t="s">
        <v>529</v>
      </c>
      <c r="C16" s="1" t="s">
        <v>530</v>
      </c>
    </row>
  </sheetData>
  <mergeCells count="1">
    <mergeCell ref="C11:C12"/>
  </mergeCells>
  <pageMargins left="0.7" right="0.7" top="0.75" bottom="0.75" header="0.3" footer="0.3"/>
  <drawing r:id="rId1"/>
  <legacyDrawing r:id="rId2"/>
  <controls>
    <mc:AlternateContent xmlns:mc="http://schemas.openxmlformats.org/markup-compatibility/2006">
      <mc:Choice Requires="x14">
        <control shapeId="18439" r:id="rId3" name="btnRelease_Calculate">
          <controlPr defaultSize="0" autoLine="0" r:id="rId4">
            <anchor moveWithCells="1">
              <from>
                <xdr:col>1</xdr:col>
                <xdr:colOff>2533650</xdr:colOff>
                <xdr:row>9</xdr:row>
                <xdr:rowOff>171450</xdr:rowOff>
              </from>
              <to>
                <xdr:col>2</xdr:col>
                <xdr:colOff>104775</xdr:colOff>
                <xdr:row>11</xdr:row>
                <xdr:rowOff>171450</xdr:rowOff>
              </to>
            </anchor>
          </controlPr>
        </control>
      </mc:Choice>
      <mc:Fallback>
        <control shapeId="18439" r:id="rId3" name="btnRelease_Calcul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DataNew!$B$87:$B$90</xm:f>
          </x14:formula1>
          <xm:sqref>C2:C3</xm:sqref>
        </x14:dataValidation>
        <x14:dataValidation type="list" allowBlank="1" showInputMessage="1" showErrorMessage="1">
          <x14:formula1>
            <xm:f>DataNew!$E$87:$E$92</xm:f>
          </x14:formula1>
          <xm:sqref>C4</xm:sqref>
        </x14:dataValidation>
        <x14:dataValidation type="list" allowBlank="1" showInputMessage="1" showErrorMessage="1">
          <x14:formula1>
            <xm:f>DataNew!$H$87:$H$90</xm:f>
          </x14:formula1>
          <xm:sqref>C5</xm:sqref>
        </x14:dataValidation>
        <x14:dataValidation type="list" allowBlank="1" showInputMessage="1" showErrorMessage="1">
          <x14:formula1>
            <xm:f>DataNew!$N$87:$N$89</xm:f>
          </x14:formula1>
          <xm:sqref>C6:C9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unTime"/>
  <dimension ref="A1:G14"/>
  <sheetViews>
    <sheetView workbookViewId="0">
      <selection activeCell="F26" sqref="F26"/>
    </sheetView>
  </sheetViews>
  <sheetFormatPr defaultRowHeight="15" x14ac:dyDescent="0.25"/>
  <cols>
    <col min="2" max="2" width="78.28515625" customWidth="1"/>
    <col min="3" max="3" width="24.85546875" customWidth="1"/>
    <col min="4" max="4" width="44.7109375" style="5" customWidth="1"/>
    <col min="6" max="7" width="8.85546875" customWidth="1"/>
  </cols>
  <sheetData>
    <row r="1" spans="1:7" ht="14.45" x14ac:dyDescent="0.3">
      <c r="D1" s="4" t="s">
        <v>116</v>
      </c>
      <c r="F1" s="4" t="s">
        <v>317</v>
      </c>
      <c r="G1" s="4" t="s">
        <v>318</v>
      </c>
    </row>
    <row r="2" spans="1:7" ht="28.9" x14ac:dyDescent="0.3">
      <c r="A2" s="62" t="s">
        <v>319</v>
      </c>
      <c r="B2" s="55" t="s">
        <v>196</v>
      </c>
      <c r="C2" s="53" t="s">
        <v>8</v>
      </c>
      <c r="D2" s="24"/>
      <c r="F2">
        <v>5</v>
      </c>
      <c r="G2">
        <v>5</v>
      </c>
    </row>
    <row r="3" spans="1:7" ht="28.9" x14ac:dyDescent="0.3">
      <c r="A3" s="62" t="s">
        <v>320</v>
      </c>
      <c r="B3" s="55" t="s">
        <v>448</v>
      </c>
      <c r="C3" s="53" t="s">
        <v>195</v>
      </c>
      <c r="D3" s="24"/>
      <c r="F3">
        <v>0</v>
      </c>
      <c r="G3">
        <v>0</v>
      </c>
    </row>
    <row r="4" spans="1:7" ht="14.45" x14ac:dyDescent="0.3">
      <c r="A4" s="62" t="s">
        <v>321</v>
      </c>
      <c r="B4" s="54" t="s">
        <v>500</v>
      </c>
      <c r="C4" s="53" t="s">
        <v>199</v>
      </c>
      <c r="D4" s="24"/>
      <c r="F4">
        <v>3</v>
      </c>
      <c r="G4">
        <v>5</v>
      </c>
    </row>
    <row r="5" spans="1:7" ht="14.45" x14ac:dyDescent="0.3">
      <c r="A5" s="62" t="s">
        <v>322</v>
      </c>
      <c r="B5" s="54" t="s">
        <v>449</v>
      </c>
      <c r="C5" s="53" t="s">
        <v>1</v>
      </c>
      <c r="D5" s="24"/>
      <c r="F5">
        <v>5</v>
      </c>
      <c r="G5">
        <v>5</v>
      </c>
    </row>
    <row r="6" spans="1:7" ht="28.9" x14ac:dyDescent="0.3">
      <c r="A6" s="62" t="s">
        <v>323</v>
      </c>
      <c r="B6" s="55" t="s">
        <v>97</v>
      </c>
      <c r="C6" s="53" t="s">
        <v>200</v>
      </c>
      <c r="D6" s="24"/>
      <c r="F6">
        <v>5</v>
      </c>
      <c r="G6">
        <v>5</v>
      </c>
    </row>
    <row r="7" spans="1:7" ht="14.45" hidden="1" x14ac:dyDescent="0.3">
      <c r="A7" s="62" t="s">
        <v>324</v>
      </c>
      <c r="B7" s="54" t="s">
        <v>302</v>
      </c>
      <c r="C7" s="53" t="s">
        <v>1</v>
      </c>
      <c r="D7" s="24"/>
      <c r="F7">
        <v>0</v>
      </c>
      <c r="G7">
        <v>0</v>
      </c>
    </row>
    <row r="8" spans="1:7" ht="14.45" x14ac:dyDescent="0.3">
      <c r="A8" s="62" t="s">
        <v>325</v>
      </c>
      <c r="B8" s="54" t="s">
        <v>203</v>
      </c>
      <c r="C8" s="53" t="s">
        <v>204</v>
      </c>
      <c r="D8" s="24"/>
      <c r="F8">
        <v>1</v>
      </c>
      <c r="G8">
        <v>5</v>
      </c>
    </row>
    <row r="9" spans="1:7" ht="14.45" x14ac:dyDescent="0.3">
      <c r="A9" s="28"/>
      <c r="B9" s="28"/>
      <c r="C9" s="28"/>
      <c r="D9" s="33"/>
    </row>
    <row r="10" spans="1:7" x14ac:dyDescent="0.25">
      <c r="C10" s="134">
        <f>F11</f>
        <v>76</v>
      </c>
      <c r="F10">
        <f>SUM(F2:F8)</f>
        <v>19</v>
      </c>
      <c r="G10">
        <f>SUM(G2:G8)</f>
        <v>25</v>
      </c>
    </row>
    <row r="11" spans="1:7" x14ac:dyDescent="0.25">
      <c r="C11" s="134"/>
      <c r="F11">
        <f>(F10*G11)/G10</f>
        <v>76</v>
      </c>
      <c r="G11">
        <v>100</v>
      </c>
    </row>
    <row r="13" spans="1:7" x14ac:dyDescent="0.25">
      <c r="B13" t="s">
        <v>511</v>
      </c>
    </row>
    <row r="14" spans="1:7" x14ac:dyDescent="0.25">
      <c r="B14" t="s">
        <v>512</v>
      </c>
    </row>
  </sheetData>
  <mergeCells count="1">
    <mergeCell ref="C10:C11"/>
  </mergeCells>
  <pageMargins left="0.7" right="0.7" top="0.75" bottom="0.75" header="0.3" footer="0.3"/>
  <drawing r:id="rId1"/>
  <legacyDrawing r:id="rId2"/>
  <controls>
    <mc:AlternateContent xmlns:mc="http://schemas.openxmlformats.org/markup-compatibility/2006">
      <mc:Choice Requires="x14">
        <control shapeId="43012" r:id="rId3" name="btnRunTime_Calculate">
          <controlPr defaultSize="0" autoLine="0" r:id="rId4">
            <anchor moveWithCells="1">
              <from>
                <xdr:col>1</xdr:col>
                <xdr:colOff>3829050</xdr:colOff>
                <xdr:row>9</xdr:row>
                <xdr:rowOff>0</xdr:rowOff>
              </from>
              <to>
                <xdr:col>2</xdr:col>
                <xdr:colOff>114300</xdr:colOff>
                <xdr:row>10</xdr:row>
                <xdr:rowOff>180975</xdr:rowOff>
              </to>
            </anchor>
          </controlPr>
        </control>
      </mc:Choice>
      <mc:Fallback>
        <control shapeId="43012" r:id="rId3" name="btnRunTime_Calculate"/>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DataNew!$K$96:$K$97</xm:f>
          </x14:formula1>
          <xm:sqref>C7</xm:sqref>
        </x14:dataValidation>
        <x14:dataValidation type="list" allowBlank="1" showInputMessage="1" showErrorMessage="1">
          <x14:formula1>
            <xm:f>DataNew!$E$96:$E$98</xm:f>
          </x14:formula1>
          <xm:sqref>C3</xm:sqref>
        </x14:dataValidation>
        <x14:dataValidation type="list" allowBlank="1" showInputMessage="1" showErrorMessage="1">
          <x14:formula1>
            <xm:f>DataNew!$H$96:$H$98</xm:f>
          </x14:formula1>
          <xm:sqref>C4</xm:sqref>
        </x14:dataValidation>
        <x14:dataValidation type="list" allowBlank="1" showInputMessage="1" showErrorMessage="1">
          <x14:formula1>
            <xm:f>DataNew!$K$96:$K$97</xm:f>
          </x14:formula1>
          <xm:sqref>C5</xm:sqref>
        </x14:dataValidation>
        <x14:dataValidation type="list" allowBlank="1" showInputMessage="1" showErrorMessage="1">
          <x14:formula1>
            <xm:f>DataNew!$N$96:$N$99</xm:f>
          </x14:formula1>
          <xm:sqref>C6</xm:sqref>
        </x14:dataValidation>
        <x14:dataValidation type="list" allowBlank="1" showInputMessage="1" showErrorMessage="1">
          <x14:formula1>
            <xm:f>DataNew!$Q$96:$Q$100</xm:f>
          </x14:formula1>
          <xm:sqref>C8</xm:sqref>
        </x14:dataValidation>
        <x14:dataValidation type="list" allowBlank="1" showInputMessage="1" showErrorMessage="1">
          <x14:formula1>
            <xm:f>DataNew!$B$96:$B$100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frastructure"/>
  <dimension ref="A1:K49"/>
  <sheetViews>
    <sheetView topLeftCell="A33" workbookViewId="0">
      <selection activeCell="K48" sqref="K48"/>
    </sheetView>
  </sheetViews>
  <sheetFormatPr defaultRowHeight="15" x14ac:dyDescent="0.25"/>
  <cols>
    <col min="2" max="2" width="57.5703125" style="1" bestFit="1" customWidth="1"/>
    <col min="3" max="3" width="8.85546875" style="1"/>
    <col min="4" max="4" width="24.85546875" style="1" customWidth="1"/>
    <col min="5" max="5" width="44.7109375" style="30" customWidth="1"/>
    <col min="7" max="8" width="8.85546875" customWidth="1"/>
  </cols>
  <sheetData>
    <row r="1" spans="1:8" ht="14.45" x14ac:dyDescent="0.3">
      <c r="E1" s="26" t="s">
        <v>205</v>
      </c>
      <c r="G1" s="4" t="s">
        <v>317</v>
      </c>
      <c r="H1" s="4" t="s">
        <v>318</v>
      </c>
    </row>
    <row r="2" spans="1:8" ht="28.9" customHeight="1" x14ac:dyDescent="0.3">
      <c r="A2" s="62" t="s">
        <v>319</v>
      </c>
      <c r="B2" s="148" t="s">
        <v>303</v>
      </c>
      <c r="C2" s="148"/>
      <c r="D2" s="56" t="s">
        <v>1</v>
      </c>
      <c r="E2" s="52"/>
      <c r="G2">
        <v>5</v>
      </c>
      <c r="H2">
        <v>5</v>
      </c>
    </row>
    <row r="3" spans="1:8" ht="14.45" x14ac:dyDescent="0.3">
      <c r="A3" s="62" t="s">
        <v>320</v>
      </c>
      <c r="B3" s="148" t="s">
        <v>305</v>
      </c>
      <c r="C3" s="148"/>
      <c r="D3" s="56" t="s">
        <v>1</v>
      </c>
      <c r="E3" s="52"/>
      <c r="G3">
        <v>5</v>
      </c>
      <c r="H3">
        <v>5</v>
      </c>
    </row>
    <row r="4" spans="1:8" ht="14.45" x14ac:dyDescent="0.3">
      <c r="A4" s="62" t="s">
        <v>321</v>
      </c>
      <c r="B4" s="148" t="s">
        <v>100</v>
      </c>
      <c r="C4" s="148"/>
      <c r="D4" s="56" t="s">
        <v>93</v>
      </c>
      <c r="E4" s="52"/>
      <c r="G4">
        <v>1</v>
      </c>
      <c r="H4">
        <v>5</v>
      </c>
    </row>
    <row r="5" spans="1:8" ht="14.45" x14ac:dyDescent="0.3">
      <c r="A5" s="62" t="s">
        <v>322</v>
      </c>
      <c r="B5" s="148" t="s">
        <v>450</v>
      </c>
      <c r="C5" s="148"/>
      <c r="D5" s="56" t="s">
        <v>1</v>
      </c>
      <c r="E5" s="52"/>
      <c r="G5">
        <v>5</v>
      </c>
      <c r="H5">
        <v>5</v>
      </c>
    </row>
    <row r="6" spans="1:8" x14ac:dyDescent="0.25">
      <c r="A6" s="8"/>
      <c r="B6" s="148" t="s">
        <v>102</v>
      </c>
      <c r="C6" s="58" t="s">
        <v>24</v>
      </c>
      <c r="D6" s="57" t="s">
        <v>30</v>
      </c>
      <c r="E6" s="52"/>
    </row>
    <row r="7" spans="1:8" x14ac:dyDescent="0.25">
      <c r="A7" s="62" t="s">
        <v>399</v>
      </c>
      <c r="B7" s="148"/>
      <c r="C7" s="55" t="s">
        <v>103</v>
      </c>
      <c r="D7" s="56" t="s">
        <v>1</v>
      </c>
      <c r="E7" s="52"/>
      <c r="G7">
        <v>5</v>
      </c>
      <c r="H7">
        <v>5</v>
      </c>
    </row>
    <row r="8" spans="1:8" x14ac:dyDescent="0.25">
      <c r="A8" s="62" t="s">
        <v>400</v>
      </c>
      <c r="B8" s="148"/>
      <c r="C8" s="55" t="s">
        <v>104</v>
      </c>
      <c r="D8" s="56" t="s">
        <v>1</v>
      </c>
      <c r="E8" s="52"/>
      <c r="G8">
        <v>5</v>
      </c>
      <c r="H8">
        <v>5</v>
      </c>
    </row>
    <row r="9" spans="1:8" x14ac:dyDescent="0.25">
      <c r="A9" s="62" t="s">
        <v>401</v>
      </c>
      <c r="B9" s="148"/>
      <c r="C9" s="55" t="s">
        <v>105</v>
      </c>
      <c r="D9" s="56" t="s">
        <v>1</v>
      </c>
      <c r="E9" s="52"/>
      <c r="G9">
        <v>5</v>
      </c>
      <c r="H9">
        <v>5</v>
      </c>
    </row>
    <row r="10" spans="1:8" ht="28.9" customHeight="1" x14ac:dyDescent="0.3">
      <c r="A10" s="62" t="s">
        <v>324</v>
      </c>
      <c r="B10" s="148" t="s">
        <v>451</v>
      </c>
      <c r="C10" s="148"/>
      <c r="D10" s="56" t="s">
        <v>2</v>
      </c>
      <c r="E10" s="52"/>
      <c r="G10">
        <v>0</v>
      </c>
      <c r="H10">
        <v>5</v>
      </c>
    </row>
    <row r="11" spans="1:8" ht="14.45" x14ac:dyDescent="0.3">
      <c r="B11" s="31"/>
      <c r="C11" s="31"/>
      <c r="D11" s="31"/>
      <c r="E11" s="36"/>
    </row>
    <row r="12" spans="1:8" ht="14.45" customHeight="1" x14ac:dyDescent="0.25">
      <c r="B12" s="31"/>
      <c r="C12" s="31"/>
      <c r="D12" s="134">
        <f>G13</f>
        <v>77.5</v>
      </c>
      <c r="E12" s="36"/>
      <c r="G12">
        <f>SUM(G2:G10)</f>
        <v>31</v>
      </c>
      <c r="H12">
        <f>SUM(H2:H10)</f>
        <v>40</v>
      </c>
    </row>
    <row r="13" spans="1:8" ht="14.45" customHeight="1" x14ac:dyDescent="0.25">
      <c r="D13" s="134"/>
      <c r="G13">
        <f>(G12*H13)/H12</f>
        <v>77.5</v>
      </c>
      <c r="H13">
        <v>100</v>
      </c>
    </row>
    <row r="16" spans="1:8" ht="138" customHeight="1" x14ac:dyDescent="0.25">
      <c r="B16" s="1" t="s">
        <v>531</v>
      </c>
      <c r="D16" s="116" t="s">
        <v>532</v>
      </c>
      <c r="E16" s="116"/>
    </row>
    <row r="18" spans="2:11" ht="121.5" customHeight="1" x14ac:dyDescent="0.25">
      <c r="B18" s="1" t="s">
        <v>533</v>
      </c>
      <c r="D18" s="116" t="s">
        <v>534</v>
      </c>
      <c r="E18" s="116"/>
    </row>
    <row r="20" spans="2:11" ht="157.5" x14ac:dyDescent="0.25">
      <c r="B20" s="1" t="s">
        <v>537</v>
      </c>
      <c r="D20" s="81" t="s">
        <v>538</v>
      </c>
      <c r="E20" s="82" t="s">
        <v>539</v>
      </c>
      <c r="F20" s="153" t="s">
        <v>540</v>
      </c>
      <c r="G20" s="154"/>
      <c r="H20" s="154"/>
      <c r="I20" s="151" t="s">
        <v>541</v>
      </c>
      <c r="J20" s="152"/>
      <c r="K20" s="152"/>
    </row>
    <row r="22" spans="2:11" ht="247.5" x14ac:dyDescent="0.25">
      <c r="B22" s="83" t="s">
        <v>542</v>
      </c>
      <c r="D22" s="81" t="s">
        <v>543</v>
      </c>
      <c r="E22" s="82" t="s">
        <v>544</v>
      </c>
      <c r="F22" s="149" t="s">
        <v>545</v>
      </c>
      <c r="G22" s="150"/>
      <c r="H22" s="150"/>
      <c r="I22" s="151" t="s">
        <v>546</v>
      </c>
      <c r="J22" s="152"/>
      <c r="K22" s="152"/>
    </row>
    <row r="24" spans="2:11" ht="15.75" x14ac:dyDescent="0.25">
      <c r="B24" s="147" t="s">
        <v>592</v>
      </c>
      <c r="C24" s="92" t="s">
        <v>551</v>
      </c>
      <c r="D24" s="145" t="s">
        <v>593</v>
      </c>
      <c r="E24" s="146"/>
    </row>
    <row r="25" spans="2:11" ht="15.75" x14ac:dyDescent="0.25">
      <c r="B25" s="147"/>
      <c r="C25" s="92" t="s">
        <v>553</v>
      </c>
      <c r="D25" s="145" t="s">
        <v>594</v>
      </c>
      <c r="E25" s="146"/>
    </row>
    <row r="26" spans="2:11" ht="15.75" x14ac:dyDescent="0.25">
      <c r="B26" s="147"/>
      <c r="C26" s="92" t="s">
        <v>554</v>
      </c>
      <c r="D26" s="145" t="s">
        <v>595</v>
      </c>
      <c r="E26" s="146"/>
    </row>
    <row r="27" spans="2:11" ht="15.75" x14ac:dyDescent="0.25">
      <c r="B27" s="147"/>
      <c r="C27" s="92" t="s">
        <v>555</v>
      </c>
      <c r="D27" s="145" t="s">
        <v>596</v>
      </c>
      <c r="E27" s="146"/>
    </row>
    <row r="29" spans="2:11" ht="15.75" x14ac:dyDescent="0.25">
      <c r="B29" s="118" t="s">
        <v>597</v>
      </c>
      <c r="C29" s="95" t="s">
        <v>551</v>
      </c>
      <c r="D29" s="145" t="s">
        <v>598</v>
      </c>
      <c r="E29" s="146"/>
    </row>
    <row r="30" spans="2:11" ht="15.75" x14ac:dyDescent="0.25">
      <c r="B30" s="118"/>
      <c r="C30" s="95" t="s">
        <v>553</v>
      </c>
      <c r="D30" s="145" t="s">
        <v>599</v>
      </c>
      <c r="E30" s="146"/>
    </row>
    <row r="31" spans="2:11" ht="15.75" x14ac:dyDescent="0.25">
      <c r="B31" s="118"/>
      <c r="C31" s="95" t="s">
        <v>554</v>
      </c>
      <c r="D31" s="145" t="s">
        <v>600</v>
      </c>
      <c r="E31" s="146"/>
    </row>
    <row r="32" spans="2:11" ht="15.75" x14ac:dyDescent="0.25">
      <c r="B32" s="118"/>
      <c r="C32" s="95" t="s">
        <v>555</v>
      </c>
      <c r="D32" s="145" t="s">
        <v>601</v>
      </c>
      <c r="E32" s="146"/>
    </row>
    <row r="33" spans="2:5" ht="15.75" x14ac:dyDescent="0.25">
      <c r="D33" s="145"/>
      <c r="E33" s="146"/>
    </row>
    <row r="34" spans="2:5" ht="15.75" x14ac:dyDescent="0.25">
      <c r="B34" s="118" t="s">
        <v>602</v>
      </c>
      <c r="C34" s="95" t="s">
        <v>551</v>
      </c>
      <c r="D34" s="145" t="s">
        <v>603</v>
      </c>
      <c r="E34" s="146"/>
    </row>
    <row r="35" spans="2:5" ht="15.75" x14ac:dyDescent="0.25">
      <c r="B35" s="118"/>
      <c r="C35" s="95" t="s">
        <v>553</v>
      </c>
      <c r="D35" s="145" t="s">
        <v>604</v>
      </c>
      <c r="E35" s="146"/>
    </row>
    <row r="36" spans="2:5" ht="15.75" x14ac:dyDescent="0.25">
      <c r="B36" s="118"/>
      <c r="C36" s="95" t="s">
        <v>554</v>
      </c>
      <c r="D36" s="145" t="s">
        <v>605</v>
      </c>
      <c r="E36" s="146"/>
    </row>
    <row r="38" spans="2:5" ht="15.75" x14ac:dyDescent="0.25">
      <c r="B38" s="118" t="s">
        <v>606</v>
      </c>
      <c r="C38" s="95" t="s">
        <v>551</v>
      </c>
      <c r="D38" s="145" t="s">
        <v>603</v>
      </c>
      <c r="E38" s="146"/>
    </row>
    <row r="39" spans="2:5" ht="15.75" x14ac:dyDescent="0.25">
      <c r="B39" s="118"/>
      <c r="C39" s="95" t="s">
        <v>553</v>
      </c>
      <c r="D39" s="145" t="s">
        <v>607</v>
      </c>
      <c r="E39" s="146"/>
    </row>
    <row r="40" spans="2:5" ht="15.75" x14ac:dyDescent="0.25">
      <c r="B40" s="118"/>
      <c r="C40" s="95" t="s">
        <v>554</v>
      </c>
      <c r="D40" s="145" t="s">
        <v>608</v>
      </c>
      <c r="E40" s="146"/>
    </row>
    <row r="41" spans="2:5" ht="15.75" x14ac:dyDescent="0.25">
      <c r="B41" s="118"/>
      <c r="C41" s="95" t="s">
        <v>555</v>
      </c>
      <c r="D41" s="145" t="s">
        <v>609</v>
      </c>
      <c r="E41" s="146"/>
    </row>
    <row r="43" spans="2:5" ht="15.75" x14ac:dyDescent="0.25">
      <c r="B43" s="118" t="s">
        <v>610</v>
      </c>
      <c r="C43" s="95" t="s">
        <v>551</v>
      </c>
      <c r="D43" s="145" t="s">
        <v>611</v>
      </c>
      <c r="E43" s="146"/>
    </row>
    <row r="44" spans="2:5" ht="15.75" x14ac:dyDescent="0.25">
      <c r="B44" s="118"/>
      <c r="C44" s="95" t="s">
        <v>553</v>
      </c>
      <c r="D44" s="145" t="s">
        <v>612</v>
      </c>
      <c r="E44" s="146"/>
    </row>
    <row r="45" spans="2:5" ht="15.75" x14ac:dyDescent="0.25">
      <c r="B45" s="118"/>
      <c r="C45" s="95" t="s">
        <v>554</v>
      </c>
      <c r="D45" s="145" t="s">
        <v>613</v>
      </c>
      <c r="E45" s="146"/>
    </row>
    <row r="47" spans="2:5" ht="15.75" x14ac:dyDescent="0.25">
      <c r="B47" s="118" t="s">
        <v>614</v>
      </c>
      <c r="C47" s="95" t="s">
        <v>551</v>
      </c>
      <c r="D47" s="145" t="s">
        <v>615</v>
      </c>
      <c r="E47" s="146"/>
    </row>
    <row r="48" spans="2:5" ht="15.75" x14ac:dyDescent="0.25">
      <c r="B48" s="118"/>
      <c r="C48" s="95" t="s">
        <v>553</v>
      </c>
      <c r="D48" s="145" t="s">
        <v>616</v>
      </c>
      <c r="E48" s="146"/>
    </row>
    <row r="49" spans="2:5" ht="15.75" x14ac:dyDescent="0.25">
      <c r="B49" s="118"/>
      <c r="C49" s="95" t="s">
        <v>554</v>
      </c>
      <c r="D49" s="145" t="s">
        <v>617</v>
      </c>
      <c r="E49" s="146"/>
    </row>
  </sheetData>
  <mergeCells count="41">
    <mergeCell ref="F22:H22"/>
    <mergeCell ref="I22:K22"/>
    <mergeCell ref="D16:E16"/>
    <mergeCell ref="D18:E18"/>
    <mergeCell ref="F20:H20"/>
    <mergeCell ref="I20:K20"/>
    <mergeCell ref="D12:D13"/>
    <mergeCell ref="B10:C10"/>
    <mergeCell ref="B2:C2"/>
    <mergeCell ref="B3:C3"/>
    <mergeCell ref="B4:C4"/>
    <mergeCell ref="B5:C5"/>
    <mergeCell ref="B6:B9"/>
    <mergeCell ref="B24:B27"/>
    <mergeCell ref="D24:E24"/>
    <mergeCell ref="D25:E25"/>
    <mergeCell ref="D26:E26"/>
    <mergeCell ref="D27:E27"/>
    <mergeCell ref="B29:B32"/>
    <mergeCell ref="D30:E30"/>
    <mergeCell ref="D31:E31"/>
    <mergeCell ref="D33:E33"/>
    <mergeCell ref="D32:E32"/>
    <mergeCell ref="D29:E29"/>
    <mergeCell ref="B34:B36"/>
    <mergeCell ref="D34:E34"/>
    <mergeCell ref="D35:E35"/>
    <mergeCell ref="D36:E36"/>
    <mergeCell ref="B38:B41"/>
    <mergeCell ref="D38:E38"/>
    <mergeCell ref="D39:E39"/>
    <mergeCell ref="D40:E40"/>
    <mergeCell ref="D41:E41"/>
    <mergeCell ref="B43:B45"/>
    <mergeCell ref="D44:E44"/>
    <mergeCell ref="D45:E45"/>
    <mergeCell ref="D43:E43"/>
    <mergeCell ref="B47:B49"/>
    <mergeCell ref="D47:E47"/>
    <mergeCell ref="D48:E48"/>
    <mergeCell ref="D49:E49"/>
  </mergeCells>
  <conditionalFormatting sqref="D24">
    <cfRule type="expression" dxfId="21" priority="38">
      <formula>$E$7="Option-A"</formula>
    </cfRule>
  </conditionalFormatting>
  <conditionalFormatting sqref="D25">
    <cfRule type="expression" dxfId="20" priority="37">
      <formula>$E$7="Option-B"</formula>
    </cfRule>
  </conditionalFormatting>
  <conditionalFormatting sqref="D26">
    <cfRule type="expression" dxfId="19" priority="36">
      <formula>$E$7="Option-C"</formula>
    </cfRule>
  </conditionalFormatting>
  <conditionalFormatting sqref="D27">
    <cfRule type="expression" dxfId="18" priority="35">
      <formula>$E$7="Option-D"</formula>
    </cfRule>
  </conditionalFormatting>
  <conditionalFormatting sqref="D30">
    <cfRule type="expression" dxfId="17" priority="33">
      <formula>$E$12="Option-B"</formula>
    </cfRule>
  </conditionalFormatting>
  <conditionalFormatting sqref="D31">
    <cfRule type="expression" dxfId="16" priority="30">
      <formula>$E$12="Option-B"</formula>
    </cfRule>
  </conditionalFormatting>
  <conditionalFormatting sqref="D33">
    <cfRule type="expression" dxfId="15" priority="29">
      <formula>$E$12="Option-B"</formula>
    </cfRule>
  </conditionalFormatting>
  <conditionalFormatting sqref="D32">
    <cfRule type="expression" dxfId="14" priority="28">
      <formula>$E$12="Option-B"</formula>
    </cfRule>
  </conditionalFormatting>
  <conditionalFormatting sqref="D29">
    <cfRule type="expression" dxfId="13" priority="27">
      <formula>$E$12="Option-B"</formula>
    </cfRule>
  </conditionalFormatting>
  <conditionalFormatting sqref="D34">
    <cfRule type="expression" dxfId="12" priority="23">
      <formula>$E$12="Option-B"</formula>
    </cfRule>
  </conditionalFormatting>
  <conditionalFormatting sqref="D35">
    <cfRule type="expression" dxfId="11" priority="22">
      <formula>$E$12="Option-B"</formula>
    </cfRule>
  </conditionalFormatting>
  <conditionalFormatting sqref="D36">
    <cfRule type="expression" dxfId="10" priority="21">
      <formula>$E$12="Option-B"</formula>
    </cfRule>
  </conditionalFormatting>
  <conditionalFormatting sqref="D38">
    <cfRule type="expression" dxfId="9" priority="16">
      <formula>$E$12="Option-B"</formula>
    </cfRule>
  </conditionalFormatting>
  <conditionalFormatting sqref="D39">
    <cfRule type="expression" dxfId="8" priority="15">
      <formula>$E$12="Option-B"</formula>
    </cfRule>
  </conditionalFormatting>
  <conditionalFormatting sqref="D40">
    <cfRule type="expression" dxfId="7" priority="14">
      <formula>$E$12="Option-B"</formula>
    </cfRule>
  </conditionalFormatting>
  <conditionalFormatting sqref="D41">
    <cfRule type="expression" dxfId="6" priority="13">
      <formula>$E$12="Option-B"</formula>
    </cfRule>
  </conditionalFormatting>
  <conditionalFormatting sqref="D44">
    <cfRule type="expression" dxfId="5" priority="9">
      <formula>$E$12="Option-B"</formula>
    </cfRule>
  </conditionalFormatting>
  <conditionalFormatting sqref="D45">
    <cfRule type="expression" dxfId="4" priority="8">
      <formula>$E$12="Option-B"</formula>
    </cfRule>
  </conditionalFormatting>
  <conditionalFormatting sqref="D43">
    <cfRule type="expression" dxfId="3" priority="7">
      <formula>$E$12="Option-B"</formula>
    </cfRule>
  </conditionalFormatting>
  <conditionalFormatting sqref="D47">
    <cfRule type="expression" dxfId="2" priority="3">
      <formula>$E$12="Option-B"</formula>
    </cfRule>
  </conditionalFormatting>
  <conditionalFormatting sqref="D48">
    <cfRule type="expression" dxfId="1" priority="2">
      <formula>$E$12="Option-B"</formula>
    </cfRule>
  </conditionalFormatting>
  <conditionalFormatting sqref="D49">
    <cfRule type="expression" dxfId="0" priority="1">
      <formula>$E$12="Option-B"</formula>
    </cfRule>
  </conditionalFormatting>
  <pageMargins left="0.7" right="0.7" top="0.75" bottom="0.75" header="0.3" footer="0.3"/>
  <drawing r:id="rId1"/>
  <legacyDrawing r:id="rId2"/>
  <controls>
    <mc:AlternateContent xmlns:mc="http://schemas.openxmlformats.org/markup-compatibility/2006">
      <mc:Choice Requires="x14">
        <control shapeId="35842" r:id="rId3" name="btnInfrastructure_Calculate">
          <controlPr defaultSize="0" autoLine="0" r:id="rId4">
            <anchor moveWithCells="1">
              <from>
                <xdr:col>1</xdr:col>
                <xdr:colOff>3057525</xdr:colOff>
                <xdr:row>10</xdr:row>
                <xdr:rowOff>171450</xdr:rowOff>
              </from>
              <to>
                <xdr:col>3</xdr:col>
                <xdr:colOff>133350</xdr:colOff>
                <xdr:row>13</xdr:row>
                <xdr:rowOff>0</xdr:rowOff>
              </to>
            </anchor>
          </controlPr>
        </control>
      </mc:Choice>
      <mc:Fallback>
        <control shapeId="35842" r:id="rId3" name="btnInfrastructure_Calcul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DataNew!$B$104:$B$105</xm:f>
          </x14:formula1>
          <xm:sqref>D2:D3 D5 D7:D10</xm:sqref>
        </x14:dataValidation>
        <x14:dataValidation type="list" allowBlank="1" showInputMessage="1" showErrorMessage="1">
          <x14:formula1>
            <xm:f>DataNew!$E$104:$E$110</xm:f>
          </x14:formula1>
          <xm:sqref>D4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2060"/>
  </sheetPr>
  <dimension ref="B2:D13"/>
  <sheetViews>
    <sheetView tabSelected="1" workbookViewId="0">
      <selection activeCell="T17" sqref="T17"/>
    </sheetView>
  </sheetViews>
  <sheetFormatPr defaultRowHeight="15" x14ac:dyDescent="0.25"/>
  <cols>
    <col min="1" max="1" width="5.28515625" customWidth="1"/>
    <col min="2" max="2" width="22.85546875" bestFit="1" customWidth="1"/>
  </cols>
  <sheetData>
    <row r="2" spans="2:4" x14ac:dyDescent="0.3">
      <c r="B2" s="4" t="s">
        <v>485</v>
      </c>
      <c r="C2" s="4" t="s">
        <v>486</v>
      </c>
      <c r="D2" s="4"/>
    </row>
    <row r="3" spans="2:4" x14ac:dyDescent="0.3">
      <c r="B3" t="s">
        <v>65</v>
      </c>
      <c r="C3" s="68">
        <f>RequirementMgmt!C7</f>
        <v>15</v>
      </c>
      <c r="D3" s="3">
        <v>100</v>
      </c>
    </row>
    <row r="4" spans="2:4" x14ac:dyDescent="0.3">
      <c r="B4" t="s">
        <v>66</v>
      </c>
      <c r="C4" s="68">
        <f>VersionControl!C26</f>
        <v>46</v>
      </c>
      <c r="D4" s="3">
        <v>100</v>
      </c>
    </row>
    <row r="5" spans="2:4" x14ac:dyDescent="0.3">
      <c r="B5" t="s">
        <v>127</v>
      </c>
      <c r="C5" s="68">
        <f>UnitTesting!C11</f>
        <v>40</v>
      </c>
      <c r="D5" s="3">
        <v>100</v>
      </c>
    </row>
    <row r="6" spans="2:4" x14ac:dyDescent="0.3">
      <c r="B6" t="s">
        <v>80</v>
      </c>
      <c r="C6" s="68">
        <f>CodeQualityAndAnalytics!C27</f>
        <v>41.333333333333336</v>
      </c>
      <c r="D6" s="3">
        <v>100</v>
      </c>
    </row>
    <row r="7" spans="2:4" x14ac:dyDescent="0.3">
      <c r="B7" t="s">
        <v>7</v>
      </c>
      <c r="C7" s="68">
        <f>Build!C12</f>
        <v>66.666666666666671</v>
      </c>
      <c r="D7" s="3">
        <v>100</v>
      </c>
    </row>
    <row r="8" spans="2:4" x14ac:dyDescent="0.3">
      <c r="B8" t="s">
        <v>12</v>
      </c>
      <c r="C8" s="68">
        <f>Testing!C50</f>
        <v>63</v>
      </c>
      <c r="D8" s="3">
        <v>100</v>
      </c>
    </row>
    <row r="9" spans="2:4" x14ac:dyDescent="0.3">
      <c r="B9" t="s">
        <v>31</v>
      </c>
      <c r="C9" s="68">
        <f>UserAcceptanceTesting!C8</f>
        <v>68</v>
      </c>
      <c r="D9" s="3">
        <v>100</v>
      </c>
    </row>
    <row r="10" spans="2:4" x14ac:dyDescent="0.3">
      <c r="B10" t="s">
        <v>20</v>
      </c>
      <c r="C10" s="68">
        <f>Deploy!D55</f>
        <v>38.444444444444457</v>
      </c>
      <c r="D10" s="3">
        <v>100</v>
      </c>
    </row>
    <row r="11" spans="2:4" x14ac:dyDescent="0.3">
      <c r="B11" t="s">
        <v>40</v>
      </c>
      <c r="C11" s="68">
        <f>Release!C11</f>
        <v>52</v>
      </c>
      <c r="D11" s="3">
        <v>100</v>
      </c>
    </row>
    <row r="12" spans="2:4" x14ac:dyDescent="0.3">
      <c r="B12" t="s">
        <v>96</v>
      </c>
      <c r="C12" s="68">
        <f>RunTime!C10</f>
        <v>76</v>
      </c>
      <c r="D12" s="3">
        <v>100</v>
      </c>
    </row>
    <row r="13" spans="2:4" x14ac:dyDescent="0.3">
      <c r="C13" s="68"/>
      <c r="D13" s="3"/>
    </row>
  </sheetData>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B8"/>
  <sheetViews>
    <sheetView workbookViewId="0">
      <selection activeCell="D15" sqref="D15"/>
    </sheetView>
  </sheetViews>
  <sheetFormatPr defaultRowHeight="15" x14ac:dyDescent="0.25"/>
  <cols>
    <col min="2" max="2" width="74.7109375" customWidth="1"/>
  </cols>
  <sheetData>
    <row r="2" spans="2:2" x14ac:dyDescent="0.3">
      <c r="B2" t="s">
        <v>108</v>
      </c>
    </row>
    <row r="3" spans="2:2" x14ac:dyDescent="0.3">
      <c r="B3" t="s">
        <v>110</v>
      </c>
    </row>
    <row r="4" spans="2:2" x14ac:dyDescent="0.3">
      <c r="B4" t="s">
        <v>109</v>
      </c>
    </row>
    <row r="6" spans="2:2" x14ac:dyDescent="0.3">
      <c r="B6" t="s">
        <v>111</v>
      </c>
    </row>
    <row r="7" spans="2:2" x14ac:dyDescent="0.3">
      <c r="B7" t="s">
        <v>112</v>
      </c>
    </row>
    <row r="8" spans="2:2" x14ac:dyDescent="0.3">
      <c r="B8" t="s">
        <v>473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ReadMe</vt:lpstr>
      <vt:lpstr>Introduction</vt:lpstr>
      <vt:lpstr>Team</vt:lpstr>
      <vt:lpstr>DataNew</vt:lpstr>
      <vt:lpstr>Application</vt:lpstr>
      <vt:lpstr>Metrics</vt:lpstr>
      <vt:lpstr>RequirementMgmt</vt:lpstr>
      <vt:lpstr>VersionControl</vt:lpstr>
      <vt:lpstr>UnitTesting</vt:lpstr>
      <vt:lpstr>CodeQualityAndAnalytics</vt:lpstr>
      <vt:lpstr>Packaging</vt:lpstr>
      <vt:lpstr>Build</vt:lpstr>
      <vt:lpstr>Testing</vt:lpstr>
      <vt:lpstr>UserAcceptanceTesting</vt:lpstr>
      <vt:lpstr>Deploy</vt:lpstr>
      <vt:lpstr>Release</vt:lpstr>
      <vt:lpstr>RunTime</vt:lpstr>
      <vt:lpstr>Infrastructure</vt:lpstr>
      <vt:lpstr>Results</vt:lpstr>
      <vt:lpstr>Notes</vt:lpstr>
    </vt:vector>
  </TitlesOfParts>
  <Company>Travelers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Jain,Tushar</dc:creator>
  <cp:lastModifiedBy>AgileAnswer</cp:lastModifiedBy>
  <dcterms:created xsi:type="dcterms:W3CDTF">2017-12-18T13:50:57Z</dcterms:created>
  <dcterms:modified xsi:type="dcterms:W3CDTF">2019-08-19T23:08:23Z</dcterms:modified>
</cp:coreProperties>
</file>